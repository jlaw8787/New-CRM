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a6fa3b08b9220/Documents/MBA Documents/"/>
    </mc:Choice>
  </mc:AlternateContent>
  <xr:revisionPtr revIDLastSave="8" documentId="8_{7A72BE37-842D-4B40-BB3F-B550F271FC9E}" xr6:coauthVersionLast="47" xr6:coauthVersionMax="47" xr10:uidLastSave="{366F0A1F-8CF5-45EC-9C8E-D3BA54CCD748}"/>
  <workbookProtection workbookAlgorithmName="SHA-512" workbookHashValue="nZpvBoOTYWNfnKvPp/z5YQAS3eY41KQpx3Uy4G9g4Nr6HoXxi7px/F530TC4GkJd0gPoLZdJCOGOAdGYD4A33w==" workbookSaltValue="01nCLFA3lK8JKCluFuaHOg==" workbookSpinCount="100000" lockStructure="1"/>
  <bookViews>
    <workbookView xWindow="-110" yWindow="-110" windowWidth="22780" windowHeight="14540" xr2:uid="{2202682A-E668-42C9-9F36-CEAA0F098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B40" i="1"/>
  <c r="I16" i="1" l="1"/>
  <c r="G13" i="1"/>
  <c r="G8" i="1"/>
  <c r="G9" i="1"/>
  <c r="G10" i="1"/>
  <c r="J10" i="1" s="1"/>
  <c r="L10" i="1" s="1"/>
  <c r="G11" i="1"/>
  <c r="G12" i="1"/>
  <c r="J12" i="1" s="1"/>
  <c r="P12" i="1" s="1"/>
  <c r="G14" i="1"/>
  <c r="J14" i="1" s="1"/>
  <c r="P14" i="1" s="1"/>
  <c r="G15" i="1"/>
  <c r="G16" i="1"/>
  <c r="G17" i="1"/>
  <c r="J17" i="1" s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I8" i="1"/>
  <c r="I9" i="1"/>
  <c r="I10" i="1"/>
  <c r="I11" i="1"/>
  <c r="I12" i="1"/>
  <c r="I13" i="1"/>
  <c r="J13" i="1" s="1"/>
  <c r="L13" i="1" s="1"/>
  <c r="I14" i="1"/>
  <c r="I15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J11" i="1"/>
  <c r="P11" i="1" s="1"/>
  <c r="J15" i="1"/>
  <c r="L15" i="1" s="1"/>
  <c r="J16" i="1"/>
  <c r="J18" i="1"/>
  <c r="L18" i="1" s="1"/>
  <c r="J19" i="1"/>
  <c r="L19" i="1" s="1"/>
  <c r="J20" i="1"/>
  <c r="L20" i="1" s="1"/>
  <c r="J21" i="1"/>
  <c r="L21" i="1" s="1"/>
  <c r="J22" i="1"/>
  <c r="R22" i="1" s="1"/>
  <c r="J23" i="1"/>
  <c r="R23" i="1" s="1"/>
  <c r="J24" i="1"/>
  <c r="R24" i="1" s="1"/>
  <c r="J25" i="1"/>
  <c r="R25" i="1" s="1"/>
  <c r="J26" i="1"/>
  <c r="R26" i="1" s="1"/>
  <c r="J27" i="1"/>
  <c r="R27" i="1" s="1"/>
  <c r="J28" i="1"/>
  <c r="R28" i="1" s="1"/>
  <c r="J29" i="1"/>
  <c r="L29" i="1" s="1"/>
  <c r="J30" i="1"/>
  <c r="P30" i="1" s="1"/>
  <c r="J31" i="1"/>
  <c r="P31" i="1" s="1"/>
  <c r="J32" i="1"/>
  <c r="P32" i="1" s="1"/>
  <c r="J33" i="1"/>
  <c r="L33" i="1" s="1"/>
  <c r="G7" i="1"/>
  <c r="J7" i="1" s="1"/>
  <c r="N7" i="1" s="1"/>
  <c r="O7" i="1" s="1"/>
  <c r="N16" i="1" l="1"/>
  <c r="K7" i="1"/>
  <c r="J8" i="1"/>
  <c r="L8" i="1" s="1"/>
  <c r="J9" i="1"/>
  <c r="L9" i="1" s="1"/>
  <c r="N15" i="1"/>
  <c r="P29" i="1"/>
  <c r="P28" i="1"/>
  <c r="P20" i="1"/>
  <c r="P18" i="1"/>
  <c r="P16" i="1"/>
  <c r="P27" i="1"/>
  <c r="P21" i="1"/>
  <c r="P19" i="1"/>
  <c r="L16" i="1"/>
  <c r="P25" i="1"/>
  <c r="P23" i="1"/>
  <c r="N23" i="1"/>
  <c r="R21" i="1"/>
  <c r="R20" i="1"/>
  <c r="R18" i="1"/>
  <c r="N18" i="1"/>
  <c r="R16" i="1"/>
  <c r="P26" i="1"/>
  <c r="P24" i="1"/>
  <c r="N21" i="1"/>
  <c r="N20" i="1"/>
  <c r="R19" i="1"/>
  <c r="N19" i="1"/>
  <c r="R15" i="1"/>
  <c r="L17" i="1"/>
  <c r="N17" i="1"/>
  <c r="R17" i="1"/>
  <c r="P17" i="1"/>
  <c r="L14" i="1"/>
  <c r="N14" i="1"/>
  <c r="R14" i="1"/>
  <c r="L7" i="1"/>
  <c r="R7" i="1"/>
  <c r="S7" i="1" s="1"/>
  <c r="P7" i="1"/>
  <c r="Q7" i="1" s="1"/>
  <c r="L12" i="1"/>
  <c r="L31" i="1"/>
  <c r="L28" i="1"/>
  <c r="L27" i="1"/>
  <c r="L26" i="1"/>
  <c r="N33" i="1"/>
  <c r="N13" i="1"/>
  <c r="L25" i="1"/>
  <c r="N32" i="1"/>
  <c r="N12" i="1"/>
  <c r="P22" i="1"/>
  <c r="R33" i="1"/>
  <c r="R13" i="1"/>
  <c r="L24" i="1"/>
  <c r="N31" i="1"/>
  <c r="N11" i="1"/>
  <c r="R32" i="1"/>
  <c r="R12" i="1"/>
  <c r="L23" i="1"/>
  <c r="N30" i="1"/>
  <c r="R31" i="1"/>
  <c r="R11" i="1"/>
  <c r="L22" i="1"/>
  <c r="N29" i="1"/>
  <c r="R30" i="1"/>
  <c r="R10" i="1"/>
  <c r="N28" i="1"/>
  <c r="R29" i="1"/>
  <c r="N27" i="1"/>
  <c r="N26" i="1"/>
  <c r="N25" i="1"/>
  <c r="P15" i="1"/>
  <c r="N24" i="1"/>
  <c r="L32" i="1"/>
  <c r="L11" i="1"/>
  <c r="L30" i="1"/>
  <c r="P33" i="1"/>
  <c r="P13" i="1"/>
  <c r="N22" i="1"/>
  <c r="P10" i="1"/>
  <c r="N10" i="1"/>
  <c r="M7" i="1" l="1"/>
  <c r="M8" i="1"/>
  <c r="R8" i="1"/>
  <c r="S8" i="1" s="1"/>
  <c r="N8" i="1"/>
  <c r="O8" i="1" s="1"/>
  <c r="P8" i="1"/>
  <c r="Q8" i="1" s="1"/>
  <c r="K8" i="1"/>
  <c r="K9" i="1" s="1"/>
  <c r="K10" i="1" s="1"/>
  <c r="K11" i="1" s="1"/>
  <c r="R9" i="1"/>
  <c r="N9" i="1"/>
  <c r="P9" i="1"/>
  <c r="K12" i="1" l="1"/>
  <c r="K13" i="1" s="1"/>
  <c r="K14" i="1" s="1"/>
  <c r="K15" i="1" s="1"/>
  <c r="M9" i="1"/>
  <c r="M10" i="1" s="1"/>
  <c r="O9" i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B39" i="1" s="1"/>
  <c r="Q9" i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C39" i="1" s="1"/>
  <c r="S9" i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D39" i="1" s="1"/>
  <c r="K16" i="1" l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M11" i="1"/>
  <c r="M12" i="1" s="1"/>
  <c r="M13" i="1" s="1"/>
  <c r="H37" i="1" l="1"/>
  <c r="H39" i="1" s="1"/>
  <c r="I37" i="1"/>
  <c r="I39" i="1" s="1"/>
  <c r="G37" i="1"/>
  <c r="G39" i="1" s="1"/>
  <c r="B41" i="1"/>
  <c r="M14" i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A39" i="1" s="1"/>
  <c r="F37" i="1" s="1"/>
  <c r="F39" i="1" s="1"/>
</calcChain>
</file>

<file path=xl/sharedStrings.xml><?xml version="1.0" encoding="utf-8"?>
<sst xmlns="http://schemas.openxmlformats.org/spreadsheetml/2006/main" count="43" uniqueCount="37">
  <si>
    <t xml:space="preserve">Name </t>
  </si>
  <si>
    <t>Date started</t>
  </si>
  <si>
    <t>Date finished</t>
  </si>
  <si>
    <t>Weekly Hours</t>
  </si>
  <si>
    <t>Casual/Total Hours</t>
  </si>
  <si>
    <t>LWOP</t>
  </si>
  <si>
    <t>Daily working Hours</t>
  </si>
  <si>
    <t>Working Days</t>
  </si>
  <si>
    <t>Total Hours Worked</t>
  </si>
  <si>
    <t>Accrued hours</t>
  </si>
  <si>
    <t>LWOP (Days)</t>
  </si>
  <si>
    <t>FTE  - QLD/TAS</t>
  </si>
  <si>
    <t>FTE - SA</t>
  </si>
  <si>
    <t>FTE Tally - SA</t>
  </si>
  <si>
    <t>FTE Tally - NSW/NT</t>
  </si>
  <si>
    <t>FTE -NSW/NT</t>
  </si>
  <si>
    <t>FTE - VIC/WA</t>
  </si>
  <si>
    <t>NSW/NT</t>
  </si>
  <si>
    <t>SA</t>
  </si>
  <si>
    <t>Total hours accrued</t>
  </si>
  <si>
    <t xml:space="preserve">SA </t>
  </si>
  <si>
    <t>WA/VIC</t>
  </si>
  <si>
    <t>VIC/WA</t>
  </si>
  <si>
    <t>Hours accrued towards next increment</t>
  </si>
  <si>
    <t>Hours remaining to qualify for increment increase</t>
  </si>
  <si>
    <t>QLD/TAS/ACT</t>
  </si>
  <si>
    <t xml:space="preserve">Start work/qual date: </t>
  </si>
  <si>
    <t>Est Increment if 1FTE completed</t>
  </si>
  <si>
    <t>Nurse Current Increment (based on hours)</t>
  </si>
  <si>
    <t xml:space="preserve">Name: </t>
  </si>
  <si>
    <t xml:space="preserve">Prepared by: </t>
  </si>
  <si>
    <t>Date:</t>
  </si>
  <si>
    <t>FTE Tally - QLD/TAS/ACT</t>
  </si>
  <si>
    <t>FTE Tally - VIC/WA</t>
  </si>
  <si>
    <t>Yearly increment hours req by state</t>
  </si>
  <si>
    <t xml:space="preserve">Top Increment Levels by State: NSW(RN8) NT(RN7) QLD(RN7) TAS(RN9) SA(RN9) WA(RN8) VIC(RN8) </t>
  </si>
  <si>
    <t>Increment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</si>
</sst>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1"/>
      <color rgb="FFF8B213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92269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0" xfId="0" applyFont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164" fontId="0" fillId="0" borderId="1" xfId="0" applyNumberFormat="1" applyBorder="1" applyAlignment="1">
      <alignment wrapText="1"/>
    </xf>
    <xf numFmtId="164" fontId="0" fillId="0" borderId="6" xfId="0" applyNumberFormat="1" applyBorder="1" applyAlignment="1">
      <alignment wrapText="1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0" fillId="0" borderId="13" xfId="0" applyBorder="1" applyAlignment="1">
      <alignment wrapText="1"/>
    </xf>
    <xf numFmtId="14" fontId="0" fillId="0" borderId="14" xfId="0" applyNumberForma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164" fontId="0" fillId="0" borderId="14" xfId="0" applyNumberFormat="1" applyBorder="1" applyAlignment="1">
      <alignment wrapText="1"/>
    </xf>
    <xf numFmtId="164" fontId="0" fillId="0" borderId="15" xfId="0" applyNumberFormat="1" applyBorder="1" applyAlignment="1">
      <alignment wrapText="1"/>
    </xf>
    <xf numFmtId="14" fontId="1" fillId="0" borderId="0" xfId="0" applyNumberFormat="1" applyFont="1"/>
    <xf numFmtId="0" fontId="0" fillId="3" borderId="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0" xfId="0" applyFont="1" applyFill="1"/>
    <xf numFmtId="0" fontId="6" fillId="3" borderId="0" xfId="0" applyFont="1" applyFill="1"/>
    <xf numFmtId="0" fontId="4" fillId="3" borderId="0" xfId="0" applyFont="1" applyFill="1"/>
    <xf numFmtId="0" fontId="6" fillId="3" borderId="5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3" borderId="6" xfId="0" applyFont="1" applyFill="1" applyBorder="1" applyAlignment="1">
      <alignment wrapText="1"/>
    </xf>
    <xf numFmtId="164" fontId="6" fillId="3" borderId="1" xfId="0" applyNumberFormat="1" applyFont="1" applyFill="1" applyBorder="1" applyAlignment="1">
      <alignment wrapText="1"/>
    </xf>
    <xf numFmtId="164" fontId="6" fillId="3" borderId="6" xfId="0" applyNumberFormat="1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164" fontId="6" fillId="3" borderId="2" xfId="0" applyNumberFormat="1" applyFont="1" applyFill="1" applyBorder="1" applyAlignment="1">
      <alignment wrapText="1"/>
    </xf>
    <xf numFmtId="164" fontId="6" fillId="3" borderId="7" xfId="0" applyNumberFormat="1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3" borderId="10" xfId="0" applyFont="1" applyFill="1" applyBorder="1" applyAlignment="1">
      <alignment wrapText="1"/>
    </xf>
    <xf numFmtId="0" fontId="5" fillId="3" borderId="16" xfId="0" applyFont="1" applyFill="1" applyBorder="1" applyAlignment="1">
      <alignment wrapText="1"/>
    </xf>
    <xf numFmtId="0" fontId="5" fillId="3" borderId="26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164" fontId="5" fillId="3" borderId="3" xfId="0" applyNumberFormat="1" applyFont="1" applyFill="1" applyBorder="1" applyAlignment="1">
      <alignment wrapText="1"/>
    </xf>
    <xf numFmtId="164" fontId="5" fillId="3" borderId="4" xfId="0" applyNumberFormat="1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5" fillId="3" borderId="11" xfId="0" applyFont="1" applyFill="1" applyBorder="1" applyAlignment="1">
      <alignment vertical="center"/>
    </xf>
    <xf numFmtId="0" fontId="5" fillId="3" borderId="16" xfId="0" applyFont="1" applyFill="1" applyBorder="1" applyAlignment="1">
      <alignment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vertical="center" wrapText="1"/>
    </xf>
    <xf numFmtId="0" fontId="5" fillId="3" borderId="22" xfId="0" applyFont="1" applyFill="1" applyBorder="1"/>
    <xf numFmtId="0" fontId="5" fillId="3" borderId="7" xfId="0" applyFont="1" applyFill="1" applyBorder="1"/>
    <xf numFmtId="0" fontId="5" fillId="3" borderId="21" xfId="0" applyFont="1" applyFill="1" applyBorder="1"/>
    <xf numFmtId="0" fontId="5" fillId="3" borderId="5" xfId="0" applyFont="1" applyFill="1" applyBorder="1"/>
    <xf numFmtId="0" fontId="5" fillId="3" borderId="1" xfId="0" applyFont="1" applyFill="1" applyBorder="1"/>
    <xf numFmtId="0" fontId="5" fillId="3" borderId="14" xfId="0" applyFont="1" applyFill="1" applyBorder="1"/>
    <xf numFmtId="0" fontId="6" fillId="3" borderId="23" xfId="0" applyFont="1" applyFill="1" applyBorder="1"/>
    <xf numFmtId="0" fontId="5" fillId="3" borderId="11" xfId="0" applyFont="1" applyFill="1" applyBorder="1"/>
    <xf numFmtId="0" fontId="5" fillId="3" borderId="18" xfId="0" applyFont="1" applyFill="1" applyBorder="1"/>
    <xf numFmtId="0" fontId="5" fillId="3" borderId="12" xfId="0" applyFont="1" applyFill="1" applyBorder="1"/>
    <xf numFmtId="0" fontId="5" fillId="3" borderId="13" xfId="0" applyFont="1" applyFill="1" applyBorder="1"/>
    <xf numFmtId="0" fontId="7" fillId="3" borderId="5" xfId="0" applyFont="1" applyFill="1" applyBorder="1"/>
    <xf numFmtId="0" fontId="7" fillId="3" borderId="14" xfId="0" applyFont="1" applyFill="1" applyBorder="1" applyAlignment="1">
      <alignment wrapText="1"/>
    </xf>
    <xf numFmtId="0" fontId="7" fillId="3" borderId="14" xfId="0" applyFont="1" applyFill="1" applyBorder="1"/>
    <xf numFmtId="0" fontId="7" fillId="3" borderId="15" xfId="0" applyFont="1" applyFill="1" applyBorder="1" applyAlignment="1">
      <alignment wrapText="1"/>
    </xf>
    <xf numFmtId="0" fontId="6" fillId="3" borderId="20" xfId="0" applyFont="1" applyFill="1" applyBorder="1" applyAlignment="1">
      <alignment wrapText="1"/>
    </xf>
    <xf numFmtId="0" fontId="6" fillId="3" borderId="24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5" fillId="3" borderId="25" xfId="0" applyFont="1" applyFill="1" applyBorder="1" applyAlignment="1">
      <alignment wrapText="1"/>
    </xf>
    <xf numFmtId="0" fontId="4" fillId="3" borderId="16" xfId="0" applyFont="1" applyFill="1" applyBorder="1"/>
    <xf numFmtId="0" fontId="8" fillId="3" borderId="0" xfId="0" applyFont="1" applyFill="1" applyAlignment="1">
      <alignment wrapText="1"/>
    </xf>
    <xf numFmtId="0" fontId="5" fillId="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92269"/>
      <color rgb="FFF8B2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E28E-2E74-43E7-B558-0E3E80FA8A3A}">
  <sheetPr>
    <pageSetUpPr fitToPage="1"/>
  </sheetPr>
  <dimension ref="A1:U41"/>
  <sheetViews>
    <sheetView tabSelected="1" zoomScale="93" zoomScaleNormal="93" workbookViewId="0">
      <selection activeCell="F1" sqref="F1"/>
    </sheetView>
  </sheetViews>
  <sheetFormatPr defaultRowHeight="14.5" x14ac:dyDescent="0.35"/>
  <cols>
    <col min="1" max="1" width="22" customWidth="1"/>
    <col min="2" max="2" width="13.453125" bestFit="1" customWidth="1"/>
    <col min="3" max="3" width="10.90625" bestFit="1" customWidth="1"/>
    <col min="4" max="4" width="9.6328125" customWidth="1"/>
    <col min="5" max="5" width="13.36328125" customWidth="1"/>
    <col min="6" max="6" width="8.54296875" customWidth="1"/>
    <col min="7" max="7" width="13.453125" style="3" bestFit="1" customWidth="1"/>
    <col min="8" max="8" width="8.90625" style="3" bestFit="1" customWidth="1"/>
    <col min="9" max="9" width="8.453125" style="3" bestFit="1" customWidth="1"/>
    <col min="10" max="10" width="10.08984375" style="3" customWidth="1"/>
    <col min="11" max="11" width="10.36328125" style="3" bestFit="1" customWidth="1"/>
    <col min="12" max="12" width="12.90625" style="3" hidden="1" customWidth="1"/>
    <col min="13" max="13" width="13.36328125" style="3" hidden="1" customWidth="1"/>
    <col min="14" max="14" width="14.08984375" style="3" hidden="1" customWidth="1"/>
    <col min="15" max="15" width="16.453125" style="3" hidden="1" customWidth="1"/>
    <col min="16" max="16" width="14.453125" style="3" hidden="1" customWidth="1"/>
    <col min="17" max="17" width="9.90625" style="3" hidden="1" customWidth="1"/>
    <col min="18" max="18" width="12" style="3" hidden="1" customWidth="1"/>
    <col min="19" max="19" width="14.54296875" style="3" hidden="1" customWidth="1"/>
  </cols>
  <sheetData>
    <row r="1" spans="1:19" ht="28.5" x14ac:dyDescent="0.65">
      <c r="A1" s="5" t="s">
        <v>36</v>
      </c>
    </row>
    <row r="2" spans="1:19" x14ac:dyDescent="0.35">
      <c r="A2" s="11" t="s">
        <v>29</v>
      </c>
      <c r="B2" s="1"/>
      <c r="C2" s="1"/>
      <c r="D2" s="11" t="s">
        <v>31</v>
      </c>
      <c r="E2" s="21"/>
    </row>
    <row r="3" spans="1:19" x14ac:dyDescent="0.35">
      <c r="A3" s="11" t="s">
        <v>30</v>
      </c>
      <c r="B3" s="1"/>
      <c r="C3" s="1"/>
      <c r="D3" s="1"/>
      <c r="E3" s="1"/>
    </row>
    <row r="4" spans="1:19" x14ac:dyDescent="0.35">
      <c r="A4" s="11" t="s">
        <v>26</v>
      </c>
      <c r="B4" s="10"/>
      <c r="C4" s="1"/>
      <c r="D4" s="1"/>
      <c r="E4" s="1"/>
      <c r="I4" s="82"/>
    </row>
    <row r="5" spans="1:19" ht="18.5" x14ac:dyDescent="0.35">
      <c r="A5" s="25" t="s">
        <v>35</v>
      </c>
      <c r="B5" s="26"/>
      <c r="C5" s="26"/>
      <c r="D5" s="26"/>
      <c r="E5" s="26"/>
      <c r="F5" s="26"/>
      <c r="G5" s="26"/>
      <c r="H5" s="26"/>
      <c r="I5" s="81"/>
      <c r="J5" s="27"/>
      <c r="K5" s="27"/>
      <c r="M5" s="13"/>
      <c r="N5" s="13"/>
      <c r="O5" s="13"/>
      <c r="P5" s="14"/>
      <c r="Q5" s="14"/>
      <c r="S5" s="13"/>
    </row>
    <row r="6" spans="1:19" ht="43.5" x14ac:dyDescent="0.35">
      <c r="A6" s="28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29" t="s">
        <v>5</v>
      </c>
      <c r="G6" s="28" t="s">
        <v>6</v>
      </c>
      <c r="H6" s="30" t="s">
        <v>10</v>
      </c>
      <c r="I6" s="28" t="s">
        <v>7</v>
      </c>
      <c r="J6" s="28" t="s">
        <v>8</v>
      </c>
      <c r="K6" s="28" t="s">
        <v>9</v>
      </c>
      <c r="L6" s="12" t="s">
        <v>15</v>
      </c>
      <c r="M6" s="12" t="s">
        <v>14</v>
      </c>
      <c r="N6" s="12" t="s">
        <v>11</v>
      </c>
      <c r="O6" s="12" t="s">
        <v>32</v>
      </c>
      <c r="P6" s="12" t="s">
        <v>12</v>
      </c>
      <c r="Q6" s="12" t="s">
        <v>13</v>
      </c>
      <c r="R6" s="12" t="s">
        <v>16</v>
      </c>
      <c r="S6" s="12" t="s">
        <v>33</v>
      </c>
    </row>
    <row r="7" spans="1:19" x14ac:dyDescent="0.35">
      <c r="A7" s="15"/>
      <c r="B7" s="16"/>
      <c r="C7" s="16"/>
      <c r="D7" s="17"/>
      <c r="E7" s="17"/>
      <c r="F7" s="18"/>
      <c r="G7" s="17">
        <f t="shared" ref="G7:G33" si="0">D7/5</f>
        <v>0</v>
      </c>
      <c r="H7" s="17"/>
      <c r="I7" s="17">
        <f>NETWORKDAYS(B7,C7)</f>
        <v>0</v>
      </c>
      <c r="J7" s="17">
        <f t="shared" ref="J7:J33" si="1">IF(ISBLANK(D7),E7,(G7*I7))</f>
        <v>0</v>
      </c>
      <c r="K7" s="17">
        <f>J7</f>
        <v>0</v>
      </c>
      <c r="L7" s="17">
        <f>J7/1976</f>
        <v>0</v>
      </c>
      <c r="M7" s="19">
        <f>L7</f>
        <v>0</v>
      </c>
      <c r="N7" s="17">
        <f>J7/1760</f>
        <v>0</v>
      </c>
      <c r="O7" s="19">
        <f>N7</f>
        <v>0</v>
      </c>
      <c r="P7" s="17">
        <f>J7/1610</f>
        <v>0</v>
      </c>
      <c r="Q7" s="19">
        <f>P7</f>
        <v>0</v>
      </c>
      <c r="R7" s="19">
        <f>J7/1238</f>
        <v>0</v>
      </c>
      <c r="S7" s="20">
        <f>R7</f>
        <v>0</v>
      </c>
    </row>
    <row r="8" spans="1:19" x14ac:dyDescent="0.35">
      <c r="A8" s="15"/>
      <c r="B8" s="4"/>
      <c r="C8" s="4"/>
      <c r="D8" s="2"/>
      <c r="E8" s="2"/>
      <c r="F8" s="7"/>
      <c r="G8" s="2">
        <f t="shared" si="0"/>
        <v>0</v>
      </c>
      <c r="H8" s="2"/>
      <c r="I8" s="2">
        <f t="shared" ref="I8:I32" si="2">NETWORKDAYS(B8,C8)</f>
        <v>0</v>
      </c>
      <c r="J8" s="2">
        <f t="shared" si="1"/>
        <v>0</v>
      </c>
      <c r="K8" s="2">
        <f>J7+J8</f>
        <v>0</v>
      </c>
      <c r="L8" s="2">
        <f t="shared" ref="L8:L33" si="3">J8/1976</f>
        <v>0</v>
      </c>
      <c r="M8" s="8">
        <f>L7+L8</f>
        <v>0</v>
      </c>
      <c r="N8" s="2">
        <f t="shared" ref="N8:N33" si="4">J8/1760</f>
        <v>0</v>
      </c>
      <c r="O8" s="8">
        <f>N7+N8</f>
        <v>0</v>
      </c>
      <c r="P8" s="2">
        <f t="shared" ref="P8:P33" si="5">J8/1610</f>
        <v>0</v>
      </c>
      <c r="Q8" s="8">
        <f>P7+P8</f>
        <v>0</v>
      </c>
      <c r="R8" s="8">
        <f t="shared" ref="R8:R33" si="6">J8/1238</f>
        <v>0</v>
      </c>
      <c r="S8" s="9">
        <f>S7+R8</f>
        <v>0</v>
      </c>
    </row>
    <row r="9" spans="1:19" x14ac:dyDescent="0.35">
      <c r="A9" s="15"/>
      <c r="B9" s="4"/>
      <c r="C9" s="4"/>
      <c r="D9" s="2"/>
      <c r="E9" s="2"/>
      <c r="F9" s="7"/>
      <c r="G9" s="2">
        <f t="shared" si="0"/>
        <v>0</v>
      </c>
      <c r="H9" s="2"/>
      <c r="I9" s="2">
        <f t="shared" si="2"/>
        <v>0</v>
      </c>
      <c r="J9" s="2">
        <f t="shared" si="1"/>
        <v>0</v>
      </c>
      <c r="K9" s="2">
        <f>K8+J9</f>
        <v>0</v>
      </c>
      <c r="L9" s="2">
        <f t="shared" si="3"/>
        <v>0</v>
      </c>
      <c r="M9" s="8">
        <f>M8+L9</f>
        <v>0</v>
      </c>
      <c r="N9" s="2">
        <f t="shared" si="4"/>
        <v>0</v>
      </c>
      <c r="O9" s="8">
        <f>O8+N9</f>
        <v>0</v>
      </c>
      <c r="P9" s="2">
        <f t="shared" si="5"/>
        <v>0</v>
      </c>
      <c r="Q9" s="8">
        <f>Q8+P9</f>
        <v>0</v>
      </c>
      <c r="R9" s="8">
        <f t="shared" si="6"/>
        <v>0</v>
      </c>
      <c r="S9" s="9">
        <f>S8+R9</f>
        <v>0</v>
      </c>
    </row>
    <row r="10" spans="1:19" x14ac:dyDescent="0.35">
      <c r="A10" s="6"/>
      <c r="B10" s="4"/>
      <c r="C10" s="4"/>
      <c r="D10" s="2"/>
      <c r="E10" s="2"/>
      <c r="F10" s="7"/>
      <c r="G10" s="2">
        <f t="shared" si="0"/>
        <v>0</v>
      </c>
      <c r="H10" s="2"/>
      <c r="I10" s="2">
        <f t="shared" si="2"/>
        <v>0</v>
      </c>
      <c r="J10" s="2">
        <f t="shared" si="1"/>
        <v>0</v>
      </c>
      <c r="K10" s="2">
        <f t="shared" ref="K10:K33" si="7">K9+J10</f>
        <v>0</v>
      </c>
      <c r="L10" s="2">
        <f t="shared" si="3"/>
        <v>0</v>
      </c>
      <c r="M10" s="8">
        <f t="shared" ref="M10:M33" si="8">M9+L10</f>
        <v>0</v>
      </c>
      <c r="N10" s="2">
        <f t="shared" si="4"/>
        <v>0</v>
      </c>
      <c r="O10" s="8">
        <f t="shared" ref="O10:O33" si="9">O9+N10</f>
        <v>0</v>
      </c>
      <c r="P10" s="2">
        <f t="shared" si="5"/>
        <v>0</v>
      </c>
      <c r="Q10" s="8">
        <f t="shared" ref="Q10:Q33" si="10">Q9+P10</f>
        <v>0</v>
      </c>
      <c r="R10" s="8">
        <f t="shared" si="6"/>
        <v>0</v>
      </c>
      <c r="S10" s="9">
        <f t="shared" ref="S10:S33" si="11">S9+R10</f>
        <v>0</v>
      </c>
    </row>
    <row r="11" spans="1:19" x14ac:dyDescent="0.35">
      <c r="A11" s="6"/>
      <c r="B11" s="4"/>
      <c r="C11" s="4"/>
      <c r="D11" s="2"/>
      <c r="E11" s="2"/>
      <c r="F11" s="7"/>
      <c r="G11" s="2">
        <f t="shared" si="0"/>
        <v>0</v>
      </c>
      <c r="H11" s="2"/>
      <c r="I11" s="2">
        <f t="shared" si="2"/>
        <v>0</v>
      </c>
      <c r="J11" s="2">
        <f t="shared" si="1"/>
        <v>0</v>
      </c>
      <c r="K11" s="2">
        <f t="shared" si="7"/>
        <v>0</v>
      </c>
      <c r="L11" s="2">
        <f t="shared" si="3"/>
        <v>0</v>
      </c>
      <c r="M11" s="8">
        <f t="shared" si="8"/>
        <v>0</v>
      </c>
      <c r="N11" s="2">
        <f t="shared" si="4"/>
        <v>0</v>
      </c>
      <c r="O11" s="8">
        <f t="shared" si="9"/>
        <v>0</v>
      </c>
      <c r="P11" s="2">
        <f t="shared" si="5"/>
        <v>0</v>
      </c>
      <c r="Q11" s="8">
        <f t="shared" si="10"/>
        <v>0</v>
      </c>
      <c r="R11" s="8">
        <f t="shared" si="6"/>
        <v>0</v>
      </c>
      <c r="S11" s="9">
        <f t="shared" si="11"/>
        <v>0</v>
      </c>
    </row>
    <row r="12" spans="1:19" x14ac:dyDescent="0.35">
      <c r="A12" s="6"/>
      <c r="B12" s="4"/>
      <c r="C12" s="4"/>
      <c r="D12" s="2"/>
      <c r="E12" s="2"/>
      <c r="F12" s="7"/>
      <c r="G12" s="2">
        <f t="shared" si="0"/>
        <v>0</v>
      </c>
      <c r="H12" s="2"/>
      <c r="I12" s="2">
        <f t="shared" si="2"/>
        <v>0</v>
      </c>
      <c r="J12" s="2">
        <f t="shared" si="1"/>
        <v>0</v>
      </c>
      <c r="K12" s="2">
        <f t="shared" si="7"/>
        <v>0</v>
      </c>
      <c r="L12" s="2">
        <f t="shared" si="3"/>
        <v>0</v>
      </c>
      <c r="M12" s="8">
        <f t="shared" si="8"/>
        <v>0</v>
      </c>
      <c r="N12" s="2">
        <f t="shared" si="4"/>
        <v>0</v>
      </c>
      <c r="O12" s="8">
        <f t="shared" si="9"/>
        <v>0</v>
      </c>
      <c r="P12" s="2">
        <f t="shared" si="5"/>
        <v>0</v>
      </c>
      <c r="Q12" s="8">
        <f t="shared" si="10"/>
        <v>0</v>
      </c>
      <c r="R12" s="8">
        <f t="shared" si="6"/>
        <v>0</v>
      </c>
      <c r="S12" s="9">
        <f t="shared" si="11"/>
        <v>0</v>
      </c>
    </row>
    <row r="13" spans="1:19" x14ac:dyDescent="0.35">
      <c r="A13" s="6"/>
      <c r="B13" s="4"/>
      <c r="C13" s="4"/>
      <c r="D13" s="2"/>
      <c r="E13" s="2"/>
      <c r="F13" s="7"/>
      <c r="G13" s="2">
        <f t="shared" si="0"/>
        <v>0</v>
      </c>
      <c r="H13" s="2"/>
      <c r="I13" s="2">
        <f t="shared" si="2"/>
        <v>0</v>
      </c>
      <c r="J13" s="2">
        <f t="shared" si="1"/>
        <v>0</v>
      </c>
      <c r="K13" s="2">
        <f t="shared" si="7"/>
        <v>0</v>
      </c>
      <c r="L13" s="2">
        <f t="shared" si="3"/>
        <v>0</v>
      </c>
      <c r="M13" s="8">
        <f t="shared" si="8"/>
        <v>0</v>
      </c>
      <c r="N13" s="2">
        <f t="shared" si="4"/>
        <v>0</v>
      </c>
      <c r="O13" s="8">
        <f t="shared" si="9"/>
        <v>0</v>
      </c>
      <c r="P13" s="2">
        <f t="shared" si="5"/>
        <v>0</v>
      </c>
      <c r="Q13" s="8">
        <f t="shared" si="10"/>
        <v>0</v>
      </c>
      <c r="R13" s="8">
        <f t="shared" si="6"/>
        <v>0</v>
      </c>
      <c r="S13" s="9">
        <f t="shared" si="11"/>
        <v>0</v>
      </c>
    </row>
    <row r="14" spans="1:19" x14ac:dyDescent="0.35">
      <c r="A14" s="6"/>
      <c r="B14" s="2"/>
      <c r="C14" s="2"/>
      <c r="D14" s="2"/>
      <c r="E14" s="2"/>
      <c r="F14" s="7"/>
      <c r="G14" s="2">
        <f t="shared" si="0"/>
        <v>0</v>
      </c>
      <c r="H14" s="2"/>
      <c r="I14" s="2">
        <f t="shared" si="2"/>
        <v>0</v>
      </c>
      <c r="J14" s="2">
        <f t="shared" si="1"/>
        <v>0</v>
      </c>
      <c r="K14" s="2">
        <f t="shared" si="7"/>
        <v>0</v>
      </c>
      <c r="L14" s="2">
        <f t="shared" si="3"/>
        <v>0</v>
      </c>
      <c r="M14" s="8">
        <f t="shared" si="8"/>
        <v>0</v>
      </c>
      <c r="N14" s="2">
        <f t="shared" si="4"/>
        <v>0</v>
      </c>
      <c r="O14" s="8">
        <f t="shared" si="9"/>
        <v>0</v>
      </c>
      <c r="P14" s="2">
        <f t="shared" si="5"/>
        <v>0</v>
      </c>
      <c r="Q14" s="8">
        <f t="shared" si="10"/>
        <v>0</v>
      </c>
      <c r="R14" s="8">
        <f t="shared" si="6"/>
        <v>0</v>
      </c>
      <c r="S14" s="9">
        <f t="shared" si="11"/>
        <v>0</v>
      </c>
    </row>
    <row r="15" spans="1:19" x14ac:dyDescent="0.35">
      <c r="A15" s="22"/>
      <c r="B15" s="23"/>
      <c r="C15" s="23"/>
      <c r="D15" s="23"/>
      <c r="E15" s="23"/>
      <c r="F15" s="24"/>
      <c r="G15" s="23">
        <f t="shared" si="0"/>
        <v>0</v>
      </c>
      <c r="H15" s="23"/>
      <c r="I15" s="23">
        <f t="shared" si="2"/>
        <v>0</v>
      </c>
      <c r="J15" s="23">
        <f t="shared" si="1"/>
        <v>0</v>
      </c>
      <c r="K15" s="23">
        <f t="shared" si="7"/>
        <v>0</v>
      </c>
      <c r="L15" s="2">
        <f t="shared" si="3"/>
        <v>0</v>
      </c>
      <c r="M15" s="8">
        <f t="shared" si="8"/>
        <v>0</v>
      </c>
      <c r="N15" s="2">
        <f t="shared" si="4"/>
        <v>0</v>
      </c>
      <c r="O15" s="8">
        <f t="shared" si="9"/>
        <v>0</v>
      </c>
      <c r="P15" s="2">
        <f t="shared" si="5"/>
        <v>0</v>
      </c>
      <c r="Q15" s="8">
        <f t="shared" si="10"/>
        <v>0</v>
      </c>
      <c r="R15" s="8">
        <f t="shared" si="6"/>
        <v>0</v>
      </c>
      <c r="S15" s="9">
        <f t="shared" si="11"/>
        <v>0</v>
      </c>
    </row>
    <row r="16" spans="1:19" x14ac:dyDescent="0.35">
      <c r="A16" s="6"/>
      <c r="B16" s="2"/>
      <c r="C16" s="2"/>
      <c r="D16" s="2"/>
      <c r="E16" s="2"/>
      <c r="F16" s="7"/>
      <c r="G16" s="2">
        <f t="shared" si="0"/>
        <v>0</v>
      </c>
      <c r="H16" s="2"/>
      <c r="I16" s="2">
        <f t="shared" si="2"/>
        <v>0</v>
      </c>
      <c r="J16" s="2">
        <f t="shared" si="1"/>
        <v>0</v>
      </c>
      <c r="K16" s="2">
        <f t="shared" si="7"/>
        <v>0</v>
      </c>
      <c r="L16" s="2">
        <f t="shared" si="3"/>
        <v>0</v>
      </c>
      <c r="M16" s="8">
        <f t="shared" si="8"/>
        <v>0</v>
      </c>
      <c r="N16" s="2">
        <f t="shared" si="4"/>
        <v>0</v>
      </c>
      <c r="O16" s="8">
        <f t="shared" si="9"/>
        <v>0</v>
      </c>
      <c r="P16" s="2">
        <f t="shared" si="5"/>
        <v>0</v>
      </c>
      <c r="Q16" s="8">
        <f t="shared" si="10"/>
        <v>0</v>
      </c>
      <c r="R16" s="8">
        <f t="shared" si="6"/>
        <v>0</v>
      </c>
      <c r="S16" s="9">
        <f t="shared" si="11"/>
        <v>0</v>
      </c>
    </row>
    <row r="17" spans="1:21" x14ac:dyDescent="0.35">
      <c r="A17" s="6"/>
      <c r="B17" s="2"/>
      <c r="C17" s="2"/>
      <c r="D17" s="2"/>
      <c r="E17" s="2"/>
      <c r="F17" s="7"/>
      <c r="G17" s="2">
        <f t="shared" si="0"/>
        <v>0</v>
      </c>
      <c r="H17" s="2"/>
      <c r="I17" s="2">
        <f t="shared" si="2"/>
        <v>0</v>
      </c>
      <c r="J17" s="2">
        <f t="shared" si="1"/>
        <v>0</v>
      </c>
      <c r="K17" s="2">
        <f t="shared" si="7"/>
        <v>0</v>
      </c>
      <c r="L17" s="2">
        <f t="shared" si="3"/>
        <v>0</v>
      </c>
      <c r="M17" s="8">
        <f t="shared" si="8"/>
        <v>0</v>
      </c>
      <c r="N17" s="2">
        <f t="shared" si="4"/>
        <v>0</v>
      </c>
      <c r="O17" s="8">
        <f t="shared" si="9"/>
        <v>0</v>
      </c>
      <c r="P17" s="2">
        <f t="shared" si="5"/>
        <v>0</v>
      </c>
      <c r="Q17" s="8">
        <f t="shared" si="10"/>
        <v>0</v>
      </c>
      <c r="R17" s="8">
        <f t="shared" si="6"/>
        <v>0</v>
      </c>
      <c r="S17" s="9">
        <f t="shared" si="11"/>
        <v>0</v>
      </c>
    </row>
    <row r="18" spans="1:21" x14ac:dyDescent="0.35">
      <c r="A18" s="6"/>
      <c r="B18" s="2"/>
      <c r="C18" s="2"/>
      <c r="D18" s="2"/>
      <c r="E18" s="2"/>
      <c r="F18" s="7"/>
      <c r="G18" s="2">
        <f t="shared" si="0"/>
        <v>0</v>
      </c>
      <c r="H18" s="2"/>
      <c r="I18" s="2">
        <f t="shared" si="2"/>
        <v>0</v>
      </c>
      <c r="J18" s="2">
        <f t="shared" si="1"/>
        <v>0</v>
      </c>
      <c r="K18" s="2">
        <f t="shared" si="7"/>
        <v>0</v>
      </c>
      <c r="L18" s="2">
        <f t="shared" si="3"/>
        <v>0</v>
      </c>
      <c r="M18" s="8">
        <f t="shared" si="8"/>
        <v>0</v>
      </c>
      <c r="N18" s="2">
        <f t="shared" si="4"/>
        <v>0</v>
      </c>
      <c r="O18" s="8">
        <f t="shared" si="9"/>
        <v>0</v>
      </c>
      <c r="P18" s="2">
        <f t="shared" si="5"/>
        <v>0</v>
      </c>
      <c r="Q18" s="8">
        <f t="shared" si="10"/>
        <v>0</v>
      </c>
      <c r="R18" s="8">
        <f t="shared" si="6"/>
        <v>0</v>
      </c>
      <c r="S18" s="9">
        <f t="shared" si="11"/>
        <v>0</v>
      </c>
    </row>
    <row r="19" spans="1:21" x14ac:dyDescent="0.35">
      <c r="A19" s="6"/>
      <c r="B19" s="2"/>
      <c r="C19" s="2"/>
      <c r="D19" s="2"/>
      <c r="E19" s="2"/>
      <c r="F19" s="7"/>
      <c r="G19" s="2">
        <f t="shared" si="0"/>
        <v>0</v>
      </c>
      <c r="H19" s="2"/>
      <c r="I19" s="2">
        <f t="shared" si="2"/>
        <v>0</v>
      </c>
      <c r="J19" s="2">
        <f t="shared" si="1"/>
        <v>0</v>
      </c>
      <c r="K19" s="2">
        <f t="shared" si="7"/>
        <v>0</v>
      </c>
      <c r="L19" s="2">
        <f t="shared" si="3"/>
        <v>0</v>
      </c>
      <c r="M19" s="8">
        <f t="shared" si="8"/>
        <v>0</v>
      </c>
      <c r="N19" s="2">
        <f t="shared" si="4"/>
        <v>0</v>
      </c>
      <c r="O19" s="8">
        <f t="shared" si="9"/>
        <v>0</v>
      </c>
      <c r="P19" s="2">
        <f t="shared" si="5"/>
        <v>0</v>
      </c>
      <c r="Q19" s="8">
        <f t="shared" si="10"/>
        <v>0</v>
      </c>
      <c r="R19" s="8">
        <f t="shared" si="6"/>
        <v>0</v>
      </c>
      <c r="S19" s="9">
        <f t="shared" si="11"/>
        <v>0</v>
      </c>
    </row>
    <row r="20" spans="1:21" x14ac:dyDescent="0.35">
      <c r="A20" s="6"/>
      <c r="B20" s="2"/>
      <c r="C20" s="2"/>
      <c r="D20" s="2"/>
      <c r="E20" s="2"/>
      <c r="F20" s="7"/>
      <c r="G20" s="2">
        <f t="shared" si="0"/>
        <v>0</v>
      </c>
      <c r="H20" s="2"/>
      <c r="I20" s="2">
        <f t="shared" si="2"/>
        <v>0</v>
      </c>
      <c r="J20" s="2">
        <f t="shared" si="1"/>
        <v>0</v>
      </c>
      <c r="K20" s="2">
        <f t="shared" si="7"/>
        <v>0</v>
      </c>
      <c r="L20" s="2">
        <f t="shared" si="3"/>
        <v>0</v>
      </c>
      <c r="M20" s="8">
        <f t="shared" si="8"/>
        <v>0</v>
      </c>
      <c r="N20" s="2">
        <f t="shared" si="4"/>
        <v>0</v>
      </c>
      <c r="O20" s="8">
        <f t="shared" si="9"/>
        <v>0</v>
      </c>
      <c r="P20" s="2">
        <f t="shared" si="5"/>
        <v>0</v>
      </c>
      <c r="Q20" s="8">
        <f t="shared" si="10"/>
        <v>0</v>
      </c>
      <c r="R20" s="8">
        <f t="shared" si="6"/>
        <v>0</v>
      </c>
      <c r="S20" s="9">
        <f t="shared" si="11"/>
        <v>0</v>
      </c>
    </row>
    <row r="21" spans="1:21" x14ac:dyDescent="0.35">
      <c r="A21" s="6"/>
      <c r="B21" s="2"/>
      <c r="C21" s="2"/>
      <c r="D21" s="2"/>
      <c r="E21" s="2"/>
      <c r="F21" s="7"/>
      <c r="G21" s="2">
        <f t="shared" si="0"/>
        <v>0</v>
      </c>
      <c r="H21" s="2"/>
      <c r="I21" s="2">
        <f t="shared" si="2"/>
        <v>0</v>
      </c>
      <c r="J21" s="2">
        <f t="shared" si="1"/>
        <v>0</v>
      </c>
      <c r="K21" s="2">
        <f t="shared" si="7"/>
        <v>0</v>
      </c>
      <c r="L21" s="2">
        <f t="shared" si="3"/>
        <v>0</v>
      </c>
      <c r="M21" s="8">
        <f t="shared" si="8"/>
        <v>0</v>
      </c>
      <c r="N21" s="2">
        <f t="shared" si="4"/>
        <v>0</v>
      </c>
      <c r="O21" s="8">
        <f t="shared" si="9"/>
        <v>0</v>
      </c>
      <c r="P21" s="2">
        <f t="shared" si="5"/>
        <v>0</v>
      </c>
      <c r="Q21" s="8">
        <f t="shared" si="10"/>
        <v>0</v>
      </c>
      <c r="R21" s="8">
        <f t="shared" si="6"/>
        <v>0</v>
      </c>
      <c r="S21" s="9">
        <f t="shared" si="11"/>
        <v>0</v>
      </c>
    </row>
    <row r="22" spans="1:21" x14ac:dyDescent="0.35">
      <c r="A22" s="6"/>
      <c r="B22" s="2"/>
      <c r="C22" s="2"/>
      <c r="D22" s="2"/>
      <c r="E22" s="2"/>
      <c r="F22" s="7"/>
      <c r="G22" s="2">
        <f t="shared" si="0"/>
        <v>0</v>
      </c>
      <c r="H22" s="2"/>
      <c r="I22" s="2">
        <f t="shared" si="2"/>
        <v>0</v>
      </c>
      <c r="J22" s="2">
        <f t="shared" si="1"/>
        <v>0</v>
      </c>
      <c r="K22" s="2">
        <f t="shared" si="7"/>
        <v>0</v>
      </c>
      <c r="L22" s="2">
        <f t="shared" si="3"/>
        <v>0</v>
      </c>
      <c r="M22" s="8">
        <f t="shared" si="8"/>
        <v>0</v>
      </c>
      <c r="N22" s="2">
        <f t="shared" si="4"/>
        <v>0</v>
      </c>
      <c r="O22" s="8">
        <f t="shared" si="9"/>
        <v>0</v>
      </c>
      <c r="P22" s="2">
        <f t="shared" si="5"/>
        <v>0</v>
      </c>
      <c r="Q22" s="8">
        <f t="shared" si="10"/>
        <v>0</v>
      </c>
      <c r="R22" s="8">
        <f t="shared" si="6"/>
        <v>0</v>
      </c>
      <c r="S22" s="9">
        <f t="shared" si="11"/>
        <v>0</v>
      </c>
    </row>
    <row r="23" spans="1:21" x14ac:dyDescent="0.35">
      <c r="A23" s="6"/>
      <c r="B23" s="2"/>
      <c r="C23" s="2"/>
      <c r="D23" s="2"/>
      <c r="E23" s="2"/>
      <c r="F23" s="7"/>
      <c r="G23" s="2">
        <f t="shared" si="0"/>
        <v>0</v>
      </c>
      <c r="H23" s="2"/>
      <c r="I23" s="2">
        <f t="shared" si="2"/>
        <v>0</v>
      </c>
      <c r="J23" s="2">
        <f t="shared" si="1"/>
        <v>0</v>
      </c>
      <c r="K23" s="2">
        <f t="shared" si="7"/>
        <v>0</v>
      </c>
      <c r="L23" s="2">
        <f t="shared" si="3"/>
        <v>0</v>
      </c>
      <c r="M23" s="8">
        <f t="shared" si="8"/>
        <v>0</v>
      </c>
      <c r="N23" s="2">
        <f t="shared" si="4"/>
        <v>0</v>
      </c>
      <c r="O23" s="8">
        <f t="shared" si="9"/>
        <v>0</v>
      </c>
      <c r="P23" s="2">
        <f t="shared" si="5"/>
        <v>0</v>
      </c>
      <c r="Q23" s="8">
        <f t="shared" si="10"/>
        <v>0</v>
      </c>
      <c r="R23" s="8">
        <f t="shared" si="6"/>
        <v>0</v>
      </c>
      <c r="S23" s="9">
        <f t="shared" si="11"/>
        <v>0</v>
      </c>
    </row>
    <row r="24" spans="1:21" x14ac:dyDescent="0.35">
      <c r="A24" s="6"/>
      <c r="B24" s="2"/>
      <c r="C24" s="2"/>
      <c r="D24" s="2"/>
      <c r="E24" s="2"/>
      <c r="F24" s="7"/>
      <c r="G24" s="2">
        <f t="shared" si="0"/>
        <v>0</v>
      </c>
      <c r="H24" s="2"/>
      <c r="I24" s="2">
        <f t="shared" si="2"/>
        <v>0</v>
      </c>
      <c r="J24" s="2">
        <f t="shared" si="1"/>
        <v>0</v>
      </c>
      <c r="K24" s="2">
        <f t="shared" si="7"/>
        <v>0</v>
      </c>
      <c r="L24" s="2">
        <f t="shared" si="3"/>
        <v>0</v>
      </c>
      <c r="M24" s="8">
        <f t="shared" si="8"/>
        <v>0</v>
      </c>
      <c r="N24" s="2">
        <f t="shared" si="4"/>
        <v>0</v>
      </c>
      <c r="O24" s="8">
        <f t="shared" si="9"/>
        <v>0</v>
      </c>
      <c r="P24" s="2">
        <f t="shared" si="5"/>
        <v>0</v>
      </c>
      <c r="Q24" s="8">
        <f t="shared" si="10"/>
        <v>0</v>
      </c>
      <c r="R24" s="8">
        <f t="shared" si="6"/>
        <v>0</v>
      </c>
      <c r="S24" s="9">
        <f t="shared" si="11"/>
        <v>0</v>
      </c>
    </row>
    <row r="25" spans="1:21" x14ac:dyDescent="0.35">
      <c r="A25" s="6"/>
      <c r="B25" s="2"/>
      <c r="C25" s="2"/>
      <c r="D25" s="2"/>
      <c r="E25" s="2"/>
      <c r="F25" s="7"/>
      <c r="G25" s="2">
        <f t="shared" si="0"/>
        <v>0</v>
      </c>
      <c r="H25" s="2"/>
      <c r="I25" s="2">
        <f t="shared" si="2"/>
        <v>0</v>
      </c>
      <c r="J25" s="2">
        <f t="shared" si="1"/>
        <v>0</v>
      </c>
      <c r="K25" s="2">
        <f t="shared" si="7"/>
        <v>0</v>
      </c>
      <c r="L25" s="2">
        <f t="shared" si="3"/>
        <v>0</v>
      </c>
      <c r="M25" s="8">
        <f t="shared" si="8"/>
        <v>0</v>
      </c>
      <c r="N25" s="2">
        <f t="shared" si="4"/>
        <v>0</v>
      </c>
      <c r="O25" s="8">
        <f t="shared" si="9"/>
        <v>0</v>
      </c>
      <c r="P25" s="2">
        <f t="shared" si="5"/>
        <v>0</v>
      </c>
      <c r="Q25" s="8">
        <f t="shared" si="10"/>
        <v>0</v>
      </c>
      <c r="R25" s="8">
        <f t="shared" si="6"/>
        <v>0</v>
      </c>
      <c r="S25" s="9">
        <f t="shared" si="11"/>
        <v>0</v>
      </c>
    </row>
    <row r="26" spans="1:21" x14ac:dyDescent="0.35">
      <c r="A26" s="6"/>
      <c r="B26" s="2"/>
      <c r="C26" s="2"/>
      <c r="D26" s="2"/>
      <c r="E26" s="2"/>
      <c r="F26" s="7"/>
      <c r="G26" s="2">
        <f t="shared" si="0"/>
        <v>0</v>
      </c>
      <c r="H26" s="2"/>
      <c r="I26" s="2">
        <f t="shared" si="2"/>
        <v>0</v>
      </c>
      <c r="J26" s="2">
        <f t="shared" si="1"/>
        <v>0</v>
      </c>
      <c r="K26" s="2">
        <f t="shared" si="7"/>
        <v>0</v>
      </c>
      <c r="L26" s="2">
        <f t="shared" si="3"/>
        <v>0</v>
      </c>
      <c r="M26" s="8">
        <f t="shared" si="8"/>
        <v>0</v>
      </c>
      <c r="N26" s="2">
        <f t="shared" si="4"/>
        <v>0</v>
      </c>
      <c r="O26" s="8">
        <f t="shared" si="9"/>
        <v>0</v>
      </c>
      <c r="P26" s="2">
        <f t="shared" si="5"/>
        <v>0</v>
      </c>
      <c r="Q26" s="8">
        <f t="shared" si="10"/>
        <v>0</v>
      </c>
      <c r="R26" s="8">
        <f t="shared" si="6"/>
        <v>0</v>
      </c>
      <c r="S26" s="9">
        <f t="shared" si="11"/>
        <v>0</v>
      </c>
    </row>
    <row r="27" spans="1:21" x14ac:dyDescent="0.35">
      <c r="A27" s="6"/>
      <c r="B27" s="2"/>
      <c r="C27" s="2"/>
      <c r="D27" s="2"/>
      <c r="E27" s="2"/>
      <c r="F27" s="7"/>
      <c r="G27" s="2">
        <f t="shared" si="0"/>
        <v>0</v>
      </c>
      <c r="H27" s="2"/>
      <c r="I27" s="2">
        <f t="shared" si="2"/>
        <v>0</v>
      </c>
      <c r="J27" s="2">
        <f t="shared" si="1"/>
        <v>0</v>
      </c>
      <c r="K27" s="2">
        <f t="shared" si="7"/>
        <v>0</v>
      </c>
      <c r="L27" s="2">
        <f t="shared" si="3"/>
        <v>0</v>
      </c>
      <c r="M27" s="8">
        <f t="shared" si="8"/>
        <v>0</v>
      </c>
      <c r="N27" s="2">
        <f t="shared" si="4"/>
        <v>0</v>
      </c>
      <c r="O27" s="8">
        <f t="shared" si="9"/>
        <v>0</v>
      </c>
      <c r="P27" s="2">
        <f t="shared" si="5"/>
        <v>0</v>
      </c>
      <c r="Q27" s="8">
        <f t="shared" si="10"/>
        <v>0</v>
      </c>
      <c r="R27" s="8">
        <f t="shared" si="6"/>
        <v>0</v>
      </c>
      <c r="S27" s="9">
        <f t="shared" si="11"/>
        <v>0</v>
      </c>
    </row>
    <row r="28" spans="1:21" x14ac:dyDescent="0.35">
      <c r="A28" s="6"/>
      <c r="B28" s="2"/>
      <c r="C28" s="2"/>
      <c r="D28" s="2"/>
      <c r="E28" s="2"/>
      <c r="F28" s="7"/>
      <c r="G28" s="2">
        <f t="shared" si="0"/>
        <v>0</v>
      </c>
      <c r="H28" s="2"/>
      <c r="I28" s="2">
        <f t="shared" si="2"/>
        <v>0</v>
      </c>
      <c r="J28" s="2">
        <f t="shared" si="1"/>
        <v>0</v>
      </c>
      <c r="K28" s="2">
        <f t="shared" si="7"/>
        <v>0</v>
      </c>
      <c r="L28" s="2">
        <f t="shared" si="3"/>
        <v>0</v>
      </c>
      <c r="M28" s="8">
        <f t="shared" si="8"/>
        <v>0</v>
      </c>
      <c r="N28" s="2">
        <f t="shared" si="4"/>
        <v>0</v>
      </c>
      <c r="O28" s="8">
        <f t="shared" si="9"/>
        <v>0</v>
      </c>
      <c r="P28" s="2">
        <f t="shared" si="5"/>
        <v>0</v>
      </c>
      <c r="Q28" s="8">
        <f t="shared" si="10"/>
        <v>0</v>
      </c>
      <c r="R28" s="8">
        <f t="shared" si="6"/>
        <v>0</v>
      </c>
      <c r="S28" s="9">
        <f t="shared" si="11"/>
        <v>0</v>
      </c>
    </row>
    <row r="29" spans="1:21" x14ac:dyDescent="0.35">
      <c r="A29" s="6"/>
      <c r="B29" s="2"/>
      <c r="C29" s="2"/>
      <c r="D29" s="2"/>
      <c r="E29" s="2"/>
      <c r="F29" s="7"/>
      <c r="G29" s="2">
        <f t="shared" si="0"/>
        <v>0</v>
      </c>
      <c r="H29" s="2"/>
      <c r="I29" s="2">
        <f t="shared" si="2"/>
        <v>0</v>
      </c>
      <c r="J29" s="2">
        <f t="shared" si="1"/>
        <v>0</v>
      </c>
      <c r="K29" s="2">
        <f t="shared" si="7"/>
        <v>0</v>
      </c>
      <c r="L29" s="2">
        <f t="shared" si="3"/>
        <v>0</v>
      </c>
      <c r="M29" s="8">
        <f t="shared" si="8"/>
        <v>0</v>
      </c>
      <c r="N29" s="2">
        <f t="shared" si="4"/>
        <v>0</v>
      </c>
      <c r="O29" s="8">
        <f t="shared" si="9"/>
        <v>0</v>
      </c>
      <c r="P29" s="2">
        <f t="shared" si="5"/>
        <v>0</v>
      </c>
      <c r="Q29" s="8">
        <f t="shared" si="10"/>
        <v>0</v>
      </c>
      <c r="R29" s="8">
        <f t="shared" si="6"/>
        <v>0</v>
      </c>
      <c r="S29" s="9">
        <f t="shared" si="11"/>
        <v>0</v>
      </c>
    </row>
    <row r="30" spans="1:21" x14ac:dyDescent="0.35">
      <c r="A30" s="6"/>
      <c r="B30" s="2"/>
      <c r="C30" s="2"/>
      <c r="D30" s="2"/>
      <c r="E30" s="2"/>
      <c r="F30" s="7"/>
      <c r="G30" s="2">
        <f t="shared" si="0"/>
        <v>0</v>
      </c>
      <c r="H30" s="2"/>
      <c r="I30" s="2">
        <f t="shared" si="2"/>
        <v>0</v>
      </c>
      <c r="J30" s="2">
        <f t="shared" si="1"/>
        <v>0</v>
      </c>
      <c r="K30" s="2">
        <f t="shared" si="7"/>
        <v>0</v>
      </c>
      <c r="L30" s="2">
        <f t="shared" si="3"/>
        <v>0</v>
      </c>
      <c r="M30" s="8">
        <f t="shared" si="8"/>
        <v>0</v>
      </c>
      <c r="N30" s="2">
        <f t="shared" si="4"/>
        <v>0</v>
      </c>
      <c r="O30" s="8">
        <f t="shared" si="9"/>
        <v>0</v>
      </c>
      <c r="P30" s="2">
        <f t="shared" si="5"/>
        <v>0</v>
      </c>
      <c r="Q30" s="8">
        <f t="shared" si="10"/>
        <v>0</v>
      </c>
      <c r="R30" s="8">
        <f t="shared" si="6"/>
        <v>0</v>
      </c>
      <c r="S30" s="9">
        <f t="shared" si="11"/>
        <v>0</v>
      </c>
    </row>
    <row r="31" spans="1:21" x14ac:dyDescent="0.35">
      <c r="A31" s="34"/>
      <c r="B31" s="35"/>
      <c r="C31" s="35"/>
      <c r="D31" s="35"/>
      <c r="E31" s="35"/>
      <c r="F31" s="36"/>
      <c r="G31" s="35">
        <f t="shared" si="0"/>
        <v>0</v>
      </c>
      <c r="H31" s="35"/>
      <c r="I31" s="35">
        <f t="shared" si="2"/>
        <v>0</v>
      </c>
      <c r="J31" s="35">
        <f t="shared" si="1"/>
        <v>0</v>
      </c>
      <c r="K31" s="35">
        <f t="shared" si="7"/>
        <v>0</v>
      </c>
      <c r="L31" s="35">
        <f t="shared" si="3"/>
        <v>0</v>
      </c>
      <c r="M31" s="37">
        <f t="shared" si="8"/>
        <v>0</v>
      </c>
      <c r="N31" s="35">
        <f t="shared" si="4"/>
        <v>0</v>
      </c>
      <c r="O31" s="37">
        <f t="shared" si="9"/>
        <v>0</v>
      </c>
      <c r="P31" s="35">
        <f t="shared" si="5"/>
        <v>0</v>
      </c>
      <c r="Q31" s="37">
        <f t="shared" si="10"/>
        <v>0</v>
      </c>
      <c r="R31" s="37">
        <f t="shared" si="6"/>
        <v>0</v>
      </c>
      <c r="S31" s="38">
        <f t="shared" si="11"/>
        <v>0</v>
      </c>
      <c r="T31" s="32"/>
      <c r="U31" s="32"/>
    </row>
    <row r="32" spans="1:21" ht="15" thickBot="1" x14ac:dyDescent="0.4">
      <c r="A32" s="34"/>
      <c r="B32" s="35"/>
      <c r="C32" s="35"/>
      <c r="D32" s="35"/>
      <c r="E32" s="35"/>
      <c r="F32" s="36"/>
      <c r="G32" s="39">
        <f t="shared" si="0"/>
        <v>0</v>
      </c>
      <c r="H32" s="39"/>
      <c r="I32" s="39">
        <f t="shared" si="2"/>
        <v>0</v>
      </c>
      <c r="J32" s="39">
        <f t="shared" si="1"/>
        <v>0</v>
      </c>
      <c r="K32" s="39">
        <f t="shared" si="7"/>
        <v>0</v>
      </c>
      <c r="L32" s="39">
        <f t="shared" si="3"/>
        <v>0</v>
      </c>
      <c r="M32" s="40">
        <f t="shared" si="8"/>
        <v>0</v>
      </c>
      <c r="N32" s="39">
        <f t="shared" si="4"/>
        <v>0</v>
      </c>
      <c r="O32" s="40">
        <f t="shared" si="9"/>
        <v>0</v>
      </c>
      <c r="P32" s="39">
        <f t="shared" si="5"/>
        <v>0</v>
      </c>
      <c r="Q32" s="40">
        <f t="shared" si="10"/>
        <v>0</v>
      </c>
      <c r="R32" s="40">
        <f t="shared" si="6"/>
        <v>0</v>
      </c>
      <c r="S32" s="41">
        <f t="shared" si="11"/>
        <v>0</v>
      </c>
      <c r="T32" s="32"/>
      <c r="U32" s="32"/>
    </row>
    <row r="33" spans="1:21" ht="15" thickBot="1" x14ac:dyDescent="0.4">
      <c r="A33" s="42"/>
      <c r="B33" s="43"/>
      <c r="C33" s="43"/>
      <c r="D33" s="43"/>
      <c r="E33" s="43"/>
      <c r="F33" s="44"/>
      <c r="G33" s="45">
        <f t="shared" si="0"/>
        <v>0</v>
      </c>
      <c r="H33" s="46"/>
      <c r="I33" s="47">
        <f>NETWORKDAYS(B34,C33)</f>
        <v>0</v>
      </c>
      <c r="J33" s="48">
        <f t="shared" si="1"/>
        <v>0</v>
      </c>
      <c r="K33" s="48">
        <f t="shared" si="7"/>
        <v>0</v>
      </c>
      <c r="L33" s="47">
        <f t="shared" si="3"/>
        <v>0</v>
      </c>
      <c r="M33" s="48">
        <f t="shared" si="8"/>
        <v>0</v>
      </c>
      <c r="N33" s="47">
        <f t="shared" si="4"/>
        <v>0</v>
      </c>
      <c r="O33" s="48">
        <f t="shared" si="9"/>
        <v>0</v>
      </c>
      <c r="P33" s="47">
        <f t="shared" si="5"/>
        <v>0</v>
      </c>
      <c r="Q33" s="48">
        <f t="shared" si="10"/>
        <v>0</v>
      </c>
      <c r="R33" s="48">
        <f t="shared" si="6"/>
        <v>0</v>
      </c>
      <c r="S33" s="49">
        <f t="shared" si="11"/>
        <v>0</v>
      </c>
      <c r="T33" s="32"/>
      <c r="U33" s="32"/>
    </row>
    <row r="34" spans="1:21" ht="15" thickBot="1" x14ac:dyDescent="0.4">
      <c r="A34" s="31" t="s">
        <v>34</v>
      </c>
      <c r="B34" s="32"/>
      <c r="C34" s="32"/>
      <c r="D34" s="32"/>
      <c r="E34" s="32"/>
      <c r="F34" s="32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32"/>
      <c r="U34" s="32"/>
    </row>
    <row r="35" spans="1:21" ht="15" thickBot="1" x14ac:dyDescent="0.4">
      <c r="A35" s="51" t="s">
        <v>17</v>
      </c>
      <c r="B35" s="51" t="s">
        <v>25</v>
      </c>
      <c r="C35" s="51" t="s">
        <v>18</v>
      </c>
      <c r="D35" s="52" t="s">
        <v>22</v>
      </c>
      <c r="E35" s="31"/>
      <c r="F35" s="53" t="s">
        <v>17</v>
      </c>
      <c r="G35" s="54" t="s">
        <v>25</v>
      </c>
      <c r="H35" s="54" t="s">
        <v>20</v>
      </c>
      <c r="I35" s="54" t="s">
        <v>21</v>
      </c>
      <c r="J35" s="55"/>
      <c r="K35" s="27"/>
      <c r="L35" s="31"/>
      <c r="M35" s="31"/>
      <c r="N35" s="32"/>
      <c r="O35" s="50"/>
      <c r="P35" s="50"/>
      <c r="Q35" s="50"/>
      <c r="R35" s="50"/>
      <c r="S35" s="32"/>
      <c r="T35" s="32"/>
      <c r="U35" s="32"/>
    </row>
    <row r="36" spans="1:21" ht="15" thickBot="1" x14ac:dyDescent="0.4">
      <c r="A36" s="56">
        <v>1976</v>
      </c>
      <c r="B36" s="57">
        <v>1760</v>
      </c>
      <c r="C36" s="58">
        <v>1610</v>
      </c>
      <c r="D36" s="57">
        <v>1248</v>
      </c>
      <c r="E36" s="32"/>
      <c r="F36" s="59" t="s">
        <v>24</v>
      </c>
      <c r="G36" s="60"/>
      <c r="H36" s="61"/>
      <c r="I36" s="61"/>
      <c r="J36" s="62"/>
      <c r="K36" s="50"/>
      <c r="L36" s="50"/>
      <c r="M36" s="50"/>
      <c r="N36" s="50"/>
      <c r="O36" s="50"/>
      <c r="P36" s="50"/>
      <c r="Q36" s="32"/>
      <c r="R36" s="32"/>
      <c r="S36" s="32"/>
      <c r="T36" s="32"/>
      <c r="U36" s="32"/>
    </row>
    <row r="37" spans="1:21" x14ac:dyDescent="0.35">
      <c r="A37" s="63" t="s">
        <v>28</v>
      </c>
      <c r="B37" s="64"/>
      <c r="C37" s="64"/>
      <c r="D37" s="65"/>
      <c r="E37" s="32"/>
      <c r="F37" s="66">
        <f>IF(K33&gt;A36,(A36*A39)-K33,A36-K33)</f>
        <v>1976</v>
      </c>
      <c r="G37" s="61">
        <f>IF(K33&gt;B36,(B36*B39)-K33,B36-K33)</f>
        <v>1760</v>
      </c>
      <c r="H37" s="61">
        <f>IF(K33&gt;C36,(C36*C39)-K33,C36-K33)</f>
        <v>1610</v>
      </c>
      <c r="I37" s="60">
        <f>IF(K33&gt;D36,(D36*D39)-K33,D36-K33)</f>
        <v>1248</v>
      </c>
      <c r="J37" s="36"/>
      <c r="K37" s="50"/>
      <c r="L37" s="50"/>
      <c r="M37" s="50"/>
      <c r="N37" s="50"/>
      <c r="O37" s="50"/>
      <c r="P37" s="32"/>
      <c r="Q37" s="32"/>
      <c r="R37" s="32"/>
      <c r="S37" s="32"/>
      <c r="T37" s="32"/>
      <c r="U37" s="32"/>
    </row>
    <row r="38" spans="1:21" x14ac:dyDescent="0.35">
      <c r="A38" s="67" t="s">
        <v>17</v>
      </c>
      <c r="B38" s="68" t="s">
        <v>25</v>
      </c>
      <c r="C38" s="69" t="s">
        <v>18</v>
      </c>
      <c r="D38" s="70" t="s">
        <v>21</v>
      </c>
      <c r="E38" s="32"/>
      <c r="F38" s="59" t="s">
        <v>23</v>
      </c>
      <c r="G38" s="60"/>
      <c r="H38" s="60"/>
      <c r="I38" s="71"/>
      <c r="J38" s="72"/>
      <c r="K38" s="50"/>
      <c r="L38" s="50"/>
      <c r="M38" s="50"/>
      <c r="N38" s="50"/>
      <c r="O38" s="50"/>
      <c r="P38" s="50"/>
      <c r="Q38" s="32"/>
      <c r="R38" s="32"/>
      <c r="S38" s="32"/>
      <c r="T38" s="32"/>
      <c r="U38" s="32"/>
    </row>
    <row r="39" spans="1:21" ht="19" thickBot="1" x14ac:dyDescent="0.5">
      <c r="A39" s="73">
        <f>ROUNDUP(M33,0)</f>
        <v>0</v>
      </c>
      <c r="B39" s="74">
        <f>ROUNDUP(O33,0)</f>
        <v>0</v>
      </c>
      <c r="C39" s="74">
        <f>ROUNDUP(Q33,0)</f>
        <v>0</v>
      </c>
      <c r="D39" s="75">
        <f>ROUNDUP(S33,0)</f>
        <v>0</v>
      </c>
      <c r="E39" s="32"/>
      <c r="F39" s="76">
        <f>A36-F37</f>
        <v>0</v>
      </c>
      <c r="G39" s="77">
        <f>B36-G37</f>
        <v>0</v>
      </c>
      <c r="H39" s="77">
        <f>C36-H37</f>
        <v>0</v>
      </c>
      <c r="I39" s="77">
        <f>D36-I37</f>
        <v>0</v>
      </c>
      <c r="J39" s="44"/>
      <c r="K39" s="32"/>
      <c r="L39" s="50"/>
      <c r="M39" s="50"/>
      <c r="N39" s="50"/>
      <c r="O39" s="50"/>
      <c r="P39" s="50"/>
      <c r="Q39" s="50"/>
      <c r="R39" s="32"/>
      <c r="S39" s="32"/>
      <c r="T39" s="32"/>
      <c r="U39" s="32"/>
    </row>
    <row r="40" spans="1:21" ht="30.5" thickBot="1" x14ac:dyDescent="0.5">
      <c r="A40" s="78" t="s">
        <v>27</v>
      </c>
      <c r="B40" s="79">
        <f ca="1">DATEDIF(B4,TODAY(),"Y")+1</f>
        <v>127</v>
      </c>
      <c r="C40" s="33"/>
      <c r="D40" s="33"/>
      <c r="E40" s="32"/>
      <c r="F40" s="31"/>
      <c r="G40" s="31"/>
      <c r="H40" s="31"/>
      <c r="I40" s="31"/>
      <c r="J40" s="50"/>
      <c r="K40" s="32"/>
      <c r="L40" s="50"/>
      <c r="M40" s="50"/>
      <c r="N40" s="50"/>
      <c r="O40" s="50"/>
      <c r="P40" s="50"/>
      <c r="Q40" s="50"/>
      <c r="R40" s="32"/>
      <c r="S40" s="32"/>
      <c r="T40" s="32"/>
      <c r="U40" s="32"/>
    </row>
    <row r="41" spans="1:21" ht="16" x14ac:dyDescent="0.4">
      <c r="A41" s="80" t="s">
        <v>19</v>
      </c>
      <c r="B41" s="31">
        <f>K33</f>
        <v>0</v>
      </c>
      <c r="C41" s="32"/>
      <c r="D41" s="32"/>
      <c r="E41" s="32"/>
      <c r="F41" s="32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32"/>
      <c r="U41" s="32"/>
    </row>
  </sheetData>
  <protectedRanges>
    <protectedRange sqref="G6:S33" name="Range4"/>
    <protectedRange algorithmName="SHA-512" hashValue="KMuCPoQIQYJ0gHSvTiE8DHKTalJwjqz0u+AL491xwmulCmrNk58JUXDQpyPRm73CmiketXEIracDyeSodBdqcw==" saltValue="Kdf/TZwuqo6nby80D+ke/A==" spinCount="100000" sqref="A2:A3 B4:B5 E2 A7:F33" name="Range3"/>
    <protectedRange sqref="G7:S32 A7:F33" name="Range1"/>
    <protectedRange sqref="A7:F33" name="Range2"/>
  </protectedRanges>
  <pageMargins left="0.25" right="0.25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Lawson</dc:creator>
  <cp:lastModifiedBy>Joshua Lawson</cp:lastModifiedBy>
  <cp:lastPrinted>2024-11-25T01:14:33Z</cp:lastPrinted>
  <dcterms:created xsi:type="dcterms:W3CDTF">2024-08-23T02:53:43Z</dcterms:created>
  <dcterms:modified xsi:type="dcterms:W3CDTF">2026-01-14T08:15:19Z</dcterms:modified>
</cp:coreProperties>
</file>