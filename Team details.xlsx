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affinitynursing-my.sharepoint.com/personal/jlawson_affinitynursing_com_au/Documents/Desktop/Josh items/Docs to be filed/"/>
    </mc:Choice>
  </mc:AlternateContent>
  <xr:revisionPtr revIDLastSave="11819" documentId="13_ncr:1_{59FF2700-0746-405B-ACB3-2DF613DD06E9}" xr6:coauthVersionLast="47" xr6:coauthVersionMax="47" xr10:uidLastSave="{DD4ACDAD-9CB6-4447-BD74-93767DF9AD58}"/>
  <bookViews>
    <workbookView xWindow="-120" yWindow="-120" windowWidth="29040" windowHeight="15720" activeTab="1" xr2:uid="{E9167E75-5BB8-4B6D-8BAE-AC87E3A1AE6A}"/>
  </bookViews>
  <sheets>
    <sheet name="Numbers" sheetId="5" r:id="rId1"/>
    <sheet name="Numbers Recruit" sheetId="22" r:id="rId2"/>
    <sheet name="1on1 tracking" sheetId="23" r:id="rId3"/>
    <sheet name="Goals" sheetId="6" r:id="rId4"/>
    <sheet name="Sheet5" sheetId="27" r:id="rId5"/>
    <sheet name="JB details" sheetId="14" r:id="rId6"/>
    <sheet name="Recruitment" sheetId="8" r:id="rId7"/>
    <sheet name="NA list" sheetId="7" r:id="rId8"/>
    <sheet name="Expanded Duties Table" sheetId="25" r:id="rId9"/>
    <sheet name="Email Unsubscribers" sheetId="10" r:id="rId10"/>
    <sheet name="Clinical Areas" sheetId="20" r:id="rId11"/>
    <sheet name="TEAM Stuff RN9" sheetId="18" r:id="rId12"/>
    <sheet name="Sheet7" sheetId="9" r:id="rId13"/>
    <sheet name="Airtable team" sheetId="1" r:id="rId14"/>
    <sheet name="2024 EOY Email templates" sheetId="12" r:id="rId15"/>
    <sheet name="Sheet4" sheetId="4" r:id="rId16"/>
    <sheet name="Nurse food items" sheetId="13" r:id="rId17"/>
    <sheet name="Sheet3" sheetId="16" r:id="rId18"/>
    <sheet name="Sheet2" sheetId="24" r:id="rId19"/>
    <sheet name="Sheet6" sheetId="26" r:id="rId20"/>
  </sheets>
  <definedNames>
    <definedName name="_xlnm._FilterDatabase" localSheetId="2" hidden="1">'1on1 tracking'!$A$1:$E$1</definedName>
    <definedName name="_xlnm._FilterDatabase" localSheetId="7" hidden="1">'NA list'!$K$1:$N$1</definedName>
    <definedName name="_xlnm._FilterDatabase" localSheetId="0" hidden="1">Numbers!$A$2:$J$2</definedName>
    <definedName name="_MailAutoSig" localSheetId="1">'Numbers Recruit'!$AV$35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I9" i="22" l="1"/>
  <c r="CJ9" i="22"/>
  <c r="CI16" i="22"/>
  <c r="CJ16" i="22" s="1"/>
  <c r="CI4" i="22"/>
  <c r="CJ4" i="22" s="1"/>
  <c r="CI13" i="22"/>
  <c r="CJ13" i="22" s="1"/>
  <c r="CI8" i="22"/>
  <c r="CJ8" i="22" s="1"/>
  <c r="CI12" i="22"/>
  <c r="CJ12" i="22" s="1"/>
  <c r="CI7" i="22"/>
  <c r="CJ7" i="22" s="1"/>
  <c r="CI15" i="22" l="1"/>
  <c r="CJ15" i="22" s="1"/>
  <c r="CI14" i="22"/>
  <c r="CJ14" i="22" s="1"/>
  <c r="J471" i="5"/>
  <c r="K471" i="5"/>
  <c r="I471" i="5"/>
  <c r="C471" i="5"/>
  <c r="E471" i="5"/>
  <c r="D471" i="5"/>
  <c r="W451" i="5"/>
  <c r="CI6" i="22"/>
  <c r="CJ6" i="22" s="1"/>
  <c r="CI3" i="22"/>
  <c r="CJ3" i="22" s="1"/>
  <c r="CI2" i="22"/>
  <c r="CJ2" i="22" s="1"/>
  <c r="CI5" i="22"/>
  <c r="CJ5" i="22" s="1"/>
  <c r="CI10" i="22"/>
  <c r="CJ10" i="22" s="1"/>
  <c r="CI11" i="22"/>
  <c r="CJ11" i="22" s="1"/>
  <c r="W476" i="5"/>
  <c r="V476" i="5"/>
  <c r="U476" i="5"/>
  <c r="Q476" i="5"/>
  <c r="P476" i="5"/>
  <c r="O476" i="5"/>
  <c r="K476" i="5"/>
  <c r="J476" i="5"/>
  <c r="I476" i="5"/>
  <c r="E476" i="5"/>
  <c r="D476" i="5"/>
  <c r="C476" i="5"/>
  <c r="W473" i="5"/>
  <c r="V473" i="5"/>
  <c r="U473" i="5"/>
  <c r="Q473" i="5"/>
  <c r="P473" i="5"/>
  <c r="O473" i="5"/>
  <c r="K473" i="5"/>
  <c r="J473" i="5"/>
  <c r="I473" i="5"/>
  <c r="E473" i="5"/>
  <c r="D473" i="5"/>
  <c r="C473" i="5"/>
  <c r="W472" i="5"/>
  <c r="V472" i="5"/>
  <c r="U472" i="5"/>
  <c r="Q472" i="5"/>
  <c r="P472" i="5"/>
  <c r="O472" i="5"/>
  <c r="K472" i="5"/>
  <c r="J472" i="5"/>
  <c r="I472" i="5"/>
  <c r="E472" i="5"/>
  <c r="D472" i="5"/>
  <c r="C472" i="5"/>
  <c r="W470" i="5"/>
  <c r="V470" i="5"/>
  <c r="W474" i="5" s="1"/>
  <c r="U470" i="5"/>
  <c r="Q470" i="5"/>
  <c r="P470" i="5"/>
  <c r="Q474" i="5" s="1"/>
  <c r="O470" i="5"/>
  <c r="K470" i="5"/>
  <c r="J470" i="5"/>
  <c r="K474" i="5" s="1"/>
  <c r="I470" i="5"/>
  <c r="E470" i="5"/>
  <c r="D470" i="5"/>
  <c r="E474" i="5" s="1"/>
  <c r="C470" i="5"/>
  <c r="AB469" i="5"/>
  <c r="AA469" i="5"/>
  <c r="Z469" i="5"/>
  <c r="AB468" i="5"/>
  <c r="AA468" i="5"/>
  <c r="Z468" i="5"/>
  <c r="AB467" i="5"/>
  <c r="AA467" i="5"/>
  <c r="Z467" i="5"/>
  <c r="AB466" i="5"/>
  <c r="AA466" i="5"/>
  <c r="Z466" i="5"/>
  <c r="AB465" i="5"/>
  <c r="AA465" i="5"/>
  <c r="Z465" i="5"/>
  <c r="AB464" i="5"/>
  <c r="AA464" i="5"/>
  <c r="Z464" i="5"/>
  <c r="AB463" i="5"/>
  <c r="AA463" i="5"/>
  <c r="Z463" i="5"/>
  <c r="AB462" i="5"/>
  <c r="AA462" i="5"/>
  <c r="Z462" i="5"/>
  <c r="AB461" i="5"/>
  <c r="AA461" i="5"/>
  <c r="Z461" i="5"/>
  <c r="AB460" i="5"/>
  <c r="AA460" i="5"/>
  <c r="Z460" i="5"/>
  <c r="AB459" i="5"/>
  <c r="AA459" i="5"/>
  <c r="Z459" i="5"/>
  <c r="AB458" i="5"/>
  <c r="AA458" i="5"/>
  <c r="Z458" i="5"/>
  <c r="AB457" i="5"/>
  <c r="AA457" i="5"/>
  <c r="Z457" i="5"/>
  <c r="Z470" i="5" l="1"/>
  <c r="AA470" i="5"/>
  <c r="AB470" i="5"/>
  <c r="CI18" i="22"/>
  <c r="CJ18" i="22" s="1"/>
  <c r="CI19" i="22"/>
  <c r="CJ19" i="22" s="1"/>
  <c r="CI20" i="22"/>
  <c r="CJ20" i="22" s="1"/>
  <c r="CI21" i="22"/>
  <c r="CJ21" i="22" s="1"/>
  <c r="CI17" i="22"/>
  <c r="CJ17" i="22" s="1"/>
  <c r="CN19" i="22"/>
  <c r="CN8" i="22"/>
  <c r="CN7" i="22"/>
  <c r="CE9" i="22"/>
  <c r="BV9" i="22"/>
  <c r="CE8" i="22"/>
  <c r="BV8" i="22"/>
  <c r="CE7" i="22"/>
  <c r="BV7" i="22"/>
  <c r="BZ11" i="22"/>
  <c r="CA11" i="22" s="1"/>
  <c r="BZ10" i="22"/>
  <c r="CA10" i="22" s="1"/>
  <c r="BZ9" i="22"/>
  <c r="CA9" i="22" s="1"/>
  <c r="BZ8" i="22"/>
  <c r="CA8" i="22" s="1"/>
  <c r="CJ45" i="22" l="1"/>
  <c r="Q451" i="5"/>
  <c r="K451" i="5"/>
  <c r="BZ32" i="22"/>
  <c r="CA32" i="22" s="1"/>
  <c r="BZ17" i="22"/>
  <c r="CA17" i="22" s="1"/>
  <c r="BZ7" i="22"/>
  <c r="CA7" i="22" s="1"/>
  <c r="BZ23" i="22"/>
  <c r="CA23" i="22" s="1"/>
  <c r="BZ5" i="22"/>
  <c r="CA5" i="22" s="1"/>
  <c r="BZ6" i="22"/>
  <c r="CA6" i="22" s="1"/>
  <c r="BZ4" i="22"/>
  <c r="CA4" i="22" s="1"/>
  <c r="BZ31" i="22"/>
  <c r="CA31" i="22" s="1"/>
  <c r="K405" i="5"/>
  <c r="E451" i="5"/>
  <c r="AC428" i="5"/>
  <c r="W428" i="5"/>
  <c r="Q428" i="5"/>
  <c r="E428" i="5"/>
  <c r="K428" i="5"/>
  <c r="BZ22" i="22"/>
  <c r="CA22" i="22" s="1"/>
  <c r="BZ20" i="22"/>
  <c r="CA20" i="22" s="1"/>
  <c r="BZ21" i="22"/>
  <c r="CA21" i="22" s="1"/>
  <c r="BZ3" i="22"/>
  <c r="CA3" i="22" s="1"/>
  <c r="BZ30" i="22" l="1"/>
  <c r="CA30" i="22" s="1"/>
  <c r="BZ29" i="22"/>
  <c r="CA29" i="22" s="1"/>
  <c r="BZ26" i="22"/>
  <c r="CA26" i="22" s="1"/>
  <c r="BZ33" i="22"/>
  <c r="CA33" i="22" s="1"/>
  <c r="BZ16" i="22"/>
  <c r="CA16" i="22" s="1"/>
  <c r="BZ25" i="22"/>
  <c r="CA25" i="22" s="1"/>
  <c r="BZ15" i="22" l="1"/>
  <c r="CA15" i="22" s="1"/>
  <c r="BZ27" i="22"/>
  <c r="CA27" i="22" s="1"/>
  <c r="Z395" i="5"/>
  <c r="AG422" i="5"/>
  <c r="AG424" i="5" s="1"/>
  <c r="BZ24" i="22"/>
  <c r="CA24" i="22" s="1"/>
  <c r="W453" i="5"/>
  <c r="V453" i="5"/>
  <c r="U453" i="5"/>
  <c r="Q453" i="5"/>
  <c r="P453" i="5"/>
  <c r="O453" i="5"/>
  <c r="K453" i="5"/>
  <c r="J453" i="5"/>
  <c r="I453" i="5"/>
  <c r="E453" i="5"/>
  <c r="D453" i="5"/>
  <c r="C453" i="5"/>
  <c r="W450" i="5"/>
  <c r="V450" i="5"/>
  <c r="U450" i="5"/>
  <c r="Q450" i="5"/>
  <c r="P450" i="5"/>
  <c r="O450" i="5"/>
  <c r="K450" i="5"/>
  <c r="J450" i="5"/>
  <c r="I450" i="5"/>
  <c r="E450" i="5"/>
  <c r="D450" i="5"/>
  <c r="C450" i="5"/>
  <c r="W449" i="5"/>
  <c r="V449" i="5"/>
  <c r="U449" i="5"/>
  <c r="Q449" i="5"/>
  <c r="P449" i="5"/>
  <c r="O449" i="5"/>
  <c r="K449" i="5"/>
  <c r="J449" i="5"/>
  <c r="I449" i="5"/>
  <c r="E449" i="5"/>
  <c r="D449" i="5"/>
  <c r="C449" i="5"/>
  <c r="W447" i="5"/>
  <c r="V447" i="5"/>
  <c r="U447" i="5"/>
  <c r="Q447" i="5"/>
  <c r="P447" i="5"/>
  <c r="O447" i="5"/>
  <c r="K447" i="5"/>
  <c r="J447" i="5"/>
  <c r="I447" i="5"/>
  <c r="E447" i="5"/>
  <c r="D447" i="5"/>
  <c r="C447" i="5"/>
  <c r="AB446" i="5"/>
  <c r="AA446" i="5"/>
  <c r="Z446" i="5"/>
  <c r="AB445" i="5"/>
  <c r="AA445" i="5"/>
  <c r="Z445" i="5"/>
  <c r="AB444" i="5"/>
  <c r="AA444" i="5"/>
  <c r="Z444" i="5"/>
  <c r="AB443" i="5"/>
  <c r="AA443" i="5"/>
  <c r="Z443" i="5"/>
  <c r="AB442" i="5"/>
  <c r="AA442" i="5"/>
  <c r="Z442" i="5"/>
  <c r="AB441" i="5"/>
  <c r="AA441" i="5"/>
  <c r="Z441" i="5"/>
  <c r="AB440" i="5"/>
  <c r="AA440" i="5"/>
  <c r="Z440" i="5"/>
  <c r="AB439" i="5"/>
  <c r="AA439" i="5"/>
  <c r="Z439" i="5"/>
  <c r="AB438" i="5"/>
  <c r="AA438" i="5"/>
  <c r="Z438" i="5"/>
  <c r="AB437" i="5"/>
  <c r="AA437" i="5"/>
  <c r="Z437" i="5"/>
  <c r="AB436" i="5"/>
  <c r="AA436" i="5"/>
  <c r="Z436" i="5"/>
  <c r="AB435" i="5"/>
  <c r="AA435" i="5"/>
  <c r="Z435" i="5"/>
  <c r="AB434" i="5"/>
  <c r="AA434" i="5"/>
  <c r="Z434" i="5"/>
  <c r="BZ28" i="22"/>
  <c r="CA28" i="22" s="1"/>
  <c r="BZ2" i="22"/>
  <c r="CA2" i="22" s="1"/>
  <c r="AA447" i="5" l="1"/>
  <c r="AB447" i="5"/>
  <c r="Z447" i="5"/>
  <c r="BZ14" i="22"/>
  <c r="CA14" i="22" s="1"/>
  <c r="BZ13" i="22" l="1"/>
  <c r="CA13" i="22" s="1"/>
  <c r="BZ19" i="22"/>
  <c r="CA19" i="22" s="1"/>
  <c r="BZ18" i="22"/>
  <c r="CA18" i="22" s="1"/>
  <c r="BZ12" i="22"/>
  <c r="CA12" i="22" s="1"/>
  <c r="CE19" i="22"/>
  <c r="CA34" i="22" l="1"/>
  <c r="BQ4" i="22"/>
  <c r="BR4" i="22" s="1"/>
  <c r="BM9" i="22"/>
  <c r="BQ15" i="22"/>
  <c r="BR15" i="22" s="1"/>
  <c r="BQ14" i="22" l="1"/>
  <c r="BR14" i="22" s="1"/>
  <c r="BQ11" i="22"/>
  <c r="BR11" i="22" s="1"/>
  <c r="BQ17" i="22"/>
  <c r="BR17" i="22" s="1"/>
  <c r="BQ13" i="22"/>
  <c r="BR13" i="22" s="1"/>
  <c r="BQ9" i="22"/>
  <c r="BR9" i="22" s="1"/>
  <c r="BQ10" i="22" l="1"/>
  <c r="BR10" i="22" s="1"/>
  <c r="BQ3" i="22" l="1"/>
  <c r="BR3" i="22" s="1"/>
  <c r="BQ8" i="22" l="1"/>
  <c r="BR8" i="22" s="1"/>
  <c r="E424" i="5"/>
  <c r="BQ12" i="22" l="1"/>
  <c r="BR12" i="22" s="1"/>
  <c r="BQ7" i="22"/>
  <c r="BR7" i="22" s="1"/>
  <c r="BQ16" i="22" l="1"/>
  <c r="BR16" i="22" s="1"/>
  <c r="BQ18" i="22"/>
  <c r="BR18" i="22" s="1"/>
  <c r="BQ19" i="22"/>
  <c r="BR19" i="22" s="1"/>
  <c r="BQ20" i="22"/>
  <c r="BR20" i="22" s="1"/>
  <c r="BQ21" i="22"/>
  <c r="BR21" i="22" s="1"/>
  <c r="BQ22" i="22"/>
  <c r="BR22" i="22" s="1"/>
  <c r="BQ23" i="22"/>
  <c r="BR23" i="22" s="1"/>
  <c r="BQ24" i="22"/>
  <c r="BR24" i="22" s="1"/>
  <c r="BQ25" i="22"/>
  <c r="BR25" i="22" s="1"/>
  <c r="BQ26" i="22"/>
  <c r="BR26" i="22" s="1"/>
  <c r="BQ27" i="22"/>
  <c r="BR27" i="22" s="1"/>
  <c r="BQ28" i="22"/>
  <c r="BR28" i="22" s="1"/>
  <c r="BQ29" i="22"/>
  <c r="BR29" i="22" s="1"/>
  <c r="BQ30" i="22"/>
  <c r="BR30" i="22" s="1"/>
  <c r="BQ31" i="22"/>
  <c r="BR31" i="22" s="1"/>
  <c r="BV19" i="22"/>
  <c r="BQ5" i="22" l="1"/>
  <c r="BR5" i="22" s="1"/>
  <c r="BQ6" i="22"/>
  <c r="BR6" i="22" s="1"/>
  <c r="U404" i="5"/>
  <c r="V404" i="5"/>
  <c r="W404" i="5"/>
  <c r="P404" i="5"/>
  <c r="O404" i="5"/>
  <c r="I404" i="5"/>
  <c r="BQ2" i="22"/>
  <c r="BR2" i="22" s="1"/>
  <c r="BH4" i="22"/>
  <c r="BI4" i="22" s="1"/>
  <c r="BR32" i="22" l="1"/>
  <c r="BH33" i="22"/>
  <c r="BI33" i="22" s="1"/>
  <c r="BM8" i="22" l="1"/>
  <c r="BD9" i="22"/>
  <c r="BM7" i="22"/>
  <c r="BH38" i="22"/>
  <c r="BI38" i="22" s="1"/>
  <c r="BH32" i="22"/>
  <c r="BI32" i="22" s="1"/>
  <c r="BH31" i="22" l="1"/>
  <c r="BI31" i="22" s="1"/>
  <c r="BH17" i="22" l="1"/>
  <c r="BI17" i="22" s="1"/>
  <c r="BH12" i="22"/>
  <c r="BI12" i="22" s="1"/>
  <c r="BH11" i="22"/>
  <c r="BI11" i="22" s="1"/>
  <c r="BH30" i="22"/>
  <c r="BI30" i="22" s="1"/>
  <c r="BH10" i="22"/>
  <c r="BI10" i="22" s="1"/>
  <c r="BH29" i="22"/>
  <c r="BI29" i="22" s="1"/>
  <c r="BH37" i="22"/>
  <c r="BI37" i="22" s="1"/>
  <c r="BH36" i="22"/>
  <c r="BI36" i="22" s="1"/>
  <c r="BH15" i="22"/>
  <c r="BI15" i="22" s="1"/>
  <c r="BH35" i="22"/>
  <c r="BI35" i="22" s="1"/>
  <c r="BH25" i="22"/>
  <c r="BI25" i="22" s="1"/>
  <c r="BH24" i="22"/>
  <c r="BI24" i="22" s="1"/>
  <c r="BH23" i="22"/>
  <c r="BI23" i="22" s="1"/>
  <c r="BH40" i="22" l="1"/>
  <c r="BI40" i="22" s="1"/>
  <c r="BH9" i="22" l="1"/>
  <c r="BI9" i="22" s="1"/>
  <c r="BH16" i="22"/>
  <c r="BI16" i="22" s="1"/>
  <c r="BD10" i="22" l="1"/>
  <c r="AY20" i="22"/>
  <c r="AZ20" i="22" s="1"/>
  <c r="BH39" i="22"/>
  <c r="BI39" i="22" s="1"/>
  <c r="E403" i="5"/>
  <c r="BH8" i="22" l="1"/>
  <c r="BI8" i="22" s="1"/>
  <c r="BH28" i="22"/>
  <c r="BI28" i="22" s="1"/>
  <c r="BH7" i="22"/>
  <c r="BI7" i="22" s="1"/>
  <c r="BH34" i="22"/>
  <c r="BI34" i="22" s="1"/>
  <c r="BH14" i="22"/>
  <c r="BI14" i="22" s="1"/>
  <c r="BH27" i="22"/>
  <c r="BI27" i="22" s="1"/>
  <c r="D401" i="5"/>
  <c r="D403" i="5"/>
  <c r="E405" i="5"/>
  <c r="BH6" i="22"/>
  <c r="BI6" i="22" s="1"/>
  <c r="BH26" i="22"/>
  <c r="BI26" i="22" s="1"/>
  <c r="BH5" i="22"/>
  <c r="BI5" i="22" s="1"/>
  <c r="BH22" i="22"/>
  <c r="BI22" i="22" s="1"/>
  <c r="BH21" i="22"/>
  <c r="BI21" i="22" s="1"/>
  <c r="AC430" i="5" l="1"/>
  <c r="AB430" i="5"/>
  <c r="AA430" i="5"/>
  <c r="W430" i="5"/>
  <c r="V430" i="5"/>
  <c r="U430" i="5"/>
  <c r="Q430" i="5"/>
  <c r="P430" i="5"/>
  <c r="O430" i="5"/>
  <c r="K430" i="5"/>
  <c r="J430" i="5"/>
  <c r="I430" i="5"/>
  <c r="E430" i="5"/>
  <c r="D430" i="5"/>
  <c r="C430" i="5"/>
  <c r="AC427" i="5"/>
  <c r="AB427" i="5"/>
  <c r="AA427" i="5"/>
  <c r="W427" i="5"/>
  <c r="V427" i="5"/>
  <c r="U427" i="5"/>
  <c r="Q427" i="5"/>
  <c r="P427" i="5"/>
  <c r="O427" i="5"/>
  <c r="K427" i="5"/>
  <c r="J427" i="5"/>
  <c r="I427" i="5"/>
  <c r="E427" i="5"/>
  <c r="D427" i="5"/>
  <c r="C427" i="5"/>
  <c r="AC426" i="5"/>
  <c r="AB426" i="5"/>
  <c r="AA426" i="5"/>
  <c r="W426" i="5"/>
  <c r="V426" i="5"/>
  <c r="U426" i="5"/>
  <c r="Q426" i="5"/>
  <c r="P426" i="5"/>
  <c r="O426" i="5"/>
  <c r="K426" i="5"/>
  <c r="J426" i="5"/>
  <c r="I426" i="5"/>
  <c r="E426" i="5"/>
  <c r="D426" i="5"/>
  <c r="C426" i="5"/>
  <c r="AC424" i="5"/>
  <c r="AB424" i="5"/>
  <c r="AA424" i="5"/>
  <c r="W424" i="5"/>
  <c r="U424" i="5"/>
  <c r="Q424" i="5"/>
  <c r="P424" i="5"/>
  <c r="O424" i="5"/>
  <c r="K424" i="5"/>
  <c r="J424" i="5"/>
  <c r="I424" i="5"/>
  <c r="D424" i="5"/>
  <c r="C424" i="5"/>
  <c r="AH423" i="5"/>
  <c r="AG423" i="5"/>
  <c r="AF423" i="5"/>
  <c r="AH422" i="5"/>
  <c r="AF422" i="5"/>
  <c r="AH421" i="5"/>
  <c r="AG421" i="5"/>
  <c r="AF421" i="5"/>
  <c r="AH420" i="5"/>
  <c r="AG420" i="5"/>
  <c r="AF420" i="5"/>
  <c r="AH419" i="5"/>
  <c r="AG419" i="5"/>
  <c r="AF419" i="5"/>
  <c r="AH418" i="5"/>
  <c r="AG418" i="5"/>
  <c r="AF418" i="5"/>
  <c r="AH417" i="5"/>
  <c r="AG417" i="5"/>
  <c r="AF417" i="5"/>
  <c r="AH416" i="5"/>
  <c r="AG416" i="5"/>
  <c r="AF416" i="5"/>
  <c r="AH415" i="5"/>
  <c r="AG415" i="5"/>
  <c r="AF415" i="5"/>
  <c r="AH414" i="5"/>
  <c r="AG414" i="5"/>
  <c r="AF414" i="5"/>
  <c r="AH413" i="5"/>
  <c r="AG413" i="5"/>
  <c r="AF413" i="5"/>
  <c r="AH412" i="5"/>
  <c r="AG412" i="5"/>
  <c r="AF412" i="5"/>
  <c r="AH411" i="5"/>
  <c r="AG411" i="5"/>
  <c r="AF411" i="5"/>
  <c r="BH3" i="22"/>
  <c r="BI3" i="22" s="1"/>
  <c r="BH20" i="22"/>
  <c r="BI20" i="22" s="1"/>
  <c r="AF424" i="5" l="1"/>
  <c r="AH424" i="5"/>
  <c r="BH19" i="22" l="1"/>
  <c r="BI19" i="22" s="1"/>
  <c r="BH2" i="22"/>
  <c r="BI2" i="22" s="1"/>
  <c r="BH41" i="22"/>
  <c r="BI41" i="22" s="1"/>
  <c r="AF377" i="5" l="1"/>
  <c r="AH377" i="5"/>
  <c r="AG377" i="5"/>
  <c r="AF365" i="5"/>
  <c r="AY25" i="22" l="1"/>
  <c r="AZ25" i="22" s="1"/>
  <c r="BM19" i="22"/>
  <c r="BH18" i="22"/>
  <c r="BI18" i="22" s="1"/>
  <c r="BH13" i="22"/>
  <c r="BI13" i="22" s="1"/>
  <c r="BD18" i="22"/>
  <c r="AY9" i="22"/>
  <c r="AZ9" i="22" s="1"/>
  <c r="AY5" i="22"/>
  <c r="AZ5" i="22" s="1"/>
  <c r="BI42" i="22" l="1"/>
  <c r="AY4" i="22"/>
  <c r="AZ4" i="22" s="1"/>
  <c r="AY19" i="22"/>
  <c r="AZ19" i="22" s="1"/>
  <c r="AY12" i="22"/>
  <c r="AZ12" i="22" s="1"/>
  <c r="AY8" i="22"/>
  <c r="AZ8" i="22" s="1"/>
  <c r="AY18" i="22"/>
  <c r="AZ18" i="22" s="1"/>
  <c r="C120" i="8"/>
  <c r="B120" i="8"/>
  <c r="AA400" i="5"/>
  <c r="Z400" i="5"/>
  <c r="AB389" i="5"/>
  <c r="AB390" i="5"/>
  <c r="AB391" i="5"/>
  <c r="AB392" i="5"/>
  <c r="AB393" i="5"/>
  <c r="AB394" i="5"/>
  <c r="AB395" i="5"/>
  <c r="AB396" i="5"/>
  <c r="AB397" i="5"/>
  <c r="AB398" i="5"/>
  <c r="AB399" i="5"/>
  <c r="AB388" i="5"/>
  <c r="AA389" i="5"/>
  <c r="AA390" i="5"/>
  <c r="AA391" i="5"/>
  <c r="AA392" i="5"/>
  <c r="AA393" i="5"/>
  <c r="AA394" i="5"/>
  <c r="AA395" i="5"/>
  <c r="AA396" i="5"/>
  <c r="AA397" i="5"/>
  <c r="AA398" i="5"/>
  <c r="AA399" i="5"/>
  <c r="AA388" i="5"/>
  <c r="Z389" i="5"/>
  <c r="Z390" i="5"/>
  <c r="Z391" i="5"/>
  <c r="Z392" i="5"/>
  <c r="Z393" i="5"/>
  <c r="Z394" i="5"/>
  <c r="Z396" i="5"/>
  <c r="Z397" i="5"/>
  <c r="Z398" i="5"/>
  <c r="Z399" i="5"/>
  <c r="Z388" i="5"/>
  <c r="W407" i="5"/>
  <c r="V407" i="5"/>
  <c r="U407" i="5"/>
  <c r="Q407" i="5"/>
  <c r="P407" i="5"/>
  <c r="O407" i="5"/>
  <c r="K407" i="5"/>
  <c r="J407" i="5"/>
  <c r="I407" i="5"/>
  <c r="E407" i="5"/>
  <c r="D407" i="5"/>
  <c r="C407" i="5"/>
  <c r="Q404" i="5"/>
  <c r="K404" i="5"/>
  <c r="J404" i="5"/>
  <c r="E404" i="5"/>
  <c r="D404" i="5"/>
  <c r="C404" i="5"/>
  <c r="W403" i="5"/>
  <c r="V403" i="5"/>
  <c r="U403" i="5"/>
  <c r="Q403" i="5"/>
  <c r="P403" i="5"/>
  <c r="O403" i="5"/>
  <c r="K403" i="5"/>
  <c r="J403" i="5"/>
  <c r="I403" i="5"/>
  <c r="C403" i="5"/>
  <c r="W401" i="5"/>
  <c r="V401" i="5"/>
  <c r="W405" i="5" s="1"/>
  <c r="U401" i="5"/>
  <c r="Q401" i="5"/>
  <c r="P401" i="5"/>
  <c r="Q405" i="5" s="1"/>
  <c r="O401" i="5"/>
  <c r="K401" i="5"/>
  <c r="J401" i="5"/>
  <c r="I401" i="5"/>
  <c r="E401" i="5"/>
  <c r="C401" i="5"/>
  <c r="AB400" i="5"/>
  <c r="AG371" i="5"/>
  <c r="AY17" i="22"/>
  <c r="AZ17" i="22" s="1"/>
  <c r="AA401" i="5" l="1"/>
  <c r="AB401" i="5"/>
  <c r="Z401" i="5"/>
  <c r="AY16" i="22"/>
  <c r="AZ16" i="22" s="1"/>
  <c r="AY7" i="22"/>
  <c r="AZ7" i="22" s="1"/>
  <c r="AY3" i="22"/>
  <c r="AZ3" i="22" s="1"/>
  <c r="AY15" i="22" l="1"/>
  <c r="AZ15" i="22" s="1"/>
  <c r="AY14" i="22"/>
  <c r="AZ14" i="22" s="1"/>
  <c r="D113" i="7" l="1"/>
  <c r="E113" i="7" s="1"/>
  <c r="AY11" i="22" l="1"/>
  <c r="AZ11" i="22" s="1"/>
  <c r="AY6" i="22"/>
  <c r="AZ6" i="22" s="1"/>
  <c r="AY13" i="22"/>
  <c r="AZ13" i="22" s="1"/>
  <c r="AY21" i="22"/>
  <c r="AY22" i="22"/>
  <c r="AY23" i="22"/>
  <c r="AY24" i="22"/>
  <c r="AY26" i="22"/>
  <c r="AY27" i="22"/>
  <c r="AY28" i="22"/>
  <c r="AY29" i="22"/>
  <c r="AY30" i="22"/>
  <c r="AY31" i="22"/>
  <c r="AY32" i="22"/>
  <c r="AY33" i="22"/>
  <c r="AY34" i="22"/>
  <c r="B107" i="8" l="1"/>
  <c r="AY10" i="22" l="1"/>
  <c r="AZ10" i="22" s="1"/>
  <c r="AZ21" i="22"/>
  <c r="AZ23" i="22"/>
  <c r="AZ24" i="22"/>
  <c r="AZ27" i="22"/>
  <c r="AZ29" i="22"/>
  <c r="AZ31" i="22"/>
  <c r="AZ32" i="22"/>
  <c r="AZ22" i="22"/>
  <c r="AZ26" i="22"/>
  <c r="AZ28" i="22"/>
  <c r="AZ30" i="22"/>
  <c r="AZ33" i="22"/>
  <c r="AZ34" i="22"/>
  <c r="D107" i="8" l="1"/>
  <c r="C107" i="8"/>
  <c r="AY2" i="22"/>
  <c r="AZ2" i="22" s="1"/>
  <c r="AZ36" i="22" s="1"/>
  <c r="G52" i="14" l="1"/>
  <c r="G53" i="14"/>
  <c r="F54" i="14"/>
  <c r="AB344" i="5"/>
  <c r="AB354" i="5"/>
  <c r="AA347" i="5"/>
  <c r="AA341" i="5"/>
  <c r="AB353" i="5"/>
  <c r="Z353" i="5"/>
  <c r="AA353" i="5"/>
  <c r="AA352" i="5"/>
  <c r="AA351" i="5"/>
  <c r="AA350" i="5"/>
  <c r="AA349" i="5"/>
  <c r="AA348" i="5"/>
  <c r="AA343" i="5"/>
  <c r="AA345" i="5"/>
  <c r="AB345" i="5"/>
  <c r="Z345" i="5"/>
  <c r="AA346" i="5"/>
  <c r="AB346" i="5"/>
  <c r="Z346" i="5"/>
  <c r="AF370" i="5"/>
  <c r="AG370" i="5"/>
  <c r="AH370" i="5"/>
  <c r="AH366" i="5"/>
  <c r="AH367" i="5"/>
  <c r="AH368" i="5"/>
  <c r="AH369" i="5"/>
  <c r="AH371" i="5"/>
  <c r="AH372" i="5"/>
  <c r="AH373" i="5"/>
  <c r="AH374" i="5"/>
  <c r="AH375" i="5"/>
  <c r="AH376" i="5"/>
  <c r="AG376" i="5"/>
  <c r="AG366" i="5"/>
  <c r="AG367" i="5"/>
  <c r="AG368" i="5"/>
  <c r="AG369" i="5"/>
  <c r="AG372" i="5"/>
  <c r="AG373" i="5"/>
  <c r="AG374" i="5"/>
  <c r="AG375" i="5"/>
  <c r="AF366" i="5"/>
  <c r="AF367" i="5"/>
  <c r="AF368" i="5"/>
  <c r="AF369" i="5"/>
  <c r="AF371" i="5"/>
  <c r="AF372" i="5"/>
  <c r="AF373" i="5"/>
  <c r="AF374" i="5"/>
  <c r="AF375" i="5"/>
  <c r="AF376" i="5"/>
  <c r="AG365" i="5"/>
  <c r="AH365" i="5"/>
  <c r="Z352" i="5"/>
  <c r="AC384" i="5"/>
  <c r="AB384" i="5"/>
  <c r="AA384" i="5"/>
  <c r="AC381" i="5"/>
  <c r="AB381" i="5"/>
  <c r="AA381" i="5"/>
  <c r="AC380" i="5"/>
  <c r="AB380" i="5"/>
  <c r="AA380" i="5"/>
  <c r="AC378" i="5"/>
  <c r="AB378" i="5"/>
  <c r="AC382" i="5" s="1"/>
  <c r="AA378" i="5"/>
  <c r="W384" i="5"/>
  <c r="V384" i="5"/>
  <c r="U384" i="5"/>
  <c r="Q384" i="5"/>
  <c r="P384" i="5"/>
  <c r="O384" i="5"/>
  <c r="K384" i="5"/>
  <c r="J384" i="5"/>
  <c r="I384" i="5"/>
  <c r="E384" i="5"/>
  <c r="D384" i="5"/>
  <c r="C384" i="5"/>
  <c r="W381" i="5"/>
  <c r="V381" i="5"/>
  <c r="U381" i="5"/>
  <c r="Q381" i="5"/>
  <c r="P381" i="5"/>
  <c r="O381" i="5"/>
  <c r="K381" i="5"/>
  <c r="J381" i="5"/>
  <c r="I381" i="5"/>
  <c r="E381" i="5"/>
  <c r="D381" i="5"/>
  <c r="C381" i="5"/>
  <c r="W380" i="5"/>
  <c r="V380" i="5"/>
  <c r="U380" i="5"/>
  <c r="Q380" i="5"/>
  <c r="P380" i="5"/>
  <c r="O380" i="5"/>
  <c r="K380" i="5"/>
  <c r="J380" i="5"/>
  <c r="I380" i="5"/>
  <c r="E380" i="5"/>
  <c r="D380" i="5"/>
  <c r="C380" i="5"/>
  <c r="W378" i="5"/>
  <c r="V378" i="5"/>
  <c r="W382" i="5" s="1"/>
  <c r="U378" i="5"/>
  <c r="Q378" i="5"/>
  <c r="P378" i="5"/>
  <c r="Q382" i="5" s="1"/>
  <c r="O378" i="5"/>
  <c r="K378" i="5"/>
  <c r="J378" i="5"/>
  <c r="K382" i="5" s="1"/>
  <c r="I378" i="5"/>
  <c r="E378" i="5"/>
  <c r="D378" i="5"/>
  <c r="E382" i="5" s="1"/>
  <c r="C378" i="5"/>
  <c r="AQ19" i="22"/>
  <c r="AR19" i="22" s="1"/>
  <c r="AQ18" i="22"/>
  <c r="AR18" i="22" s="1"/>
  <c r="AF378" i="5" l="1"/>
  <c r="AH378" i="5"/>
  <c r="AG378" i="5"/>
  <c r="F53" i="14"/>
  <c r="AQ30" i="22"/>
  <c r="AR30" i="22" s="1"/>
  <c r="AQ10" i="22"/>
  <c r="AR10" i="22" s="1"/>
  <c r="AQ9" i="22"/>
  <c r="AR9" i="22" s="1"/>
  <c r="AQ8" i="22"/>
  <c r="AR8" i="22" s="1"/>
  <c r="AQ7" i="22"/>
  <c r="AR7" i="22" s="1"/>
  <c r="AQ17" i="22" l="1"/>
  <c r="AR17" i="22" s="1"/>
  <c r="AQ16" i="22"/>
  <c r="AR16" i="22" s="1"/>
  <c r="AQ24" i="22"/>
  <c r="AR24" i="22" s="1"/>
  <c r="AQ29" i="22"/>
  <c r="AR29" i="22" s="1"/>
  <c r="AQ15" i="22" l="1"/>
  <c r="AR15" i="22" s="1"/>
  <c r="F52" i="14"/>
  <c r="AQ14" i="22" l="1"/>
  <c r="AR14" i="22" s="1"/>
  <c r="AQ23" i="22"/>
  <c r="AR23" i="22" s="1"/>
  <c r="AQ13" i="22"/>
  <c r="AR13" i="22" s="1"/>
  <c r="AQ22" i="22"/>
  <c r="AR22" i="22" s="1"/>
  <c r="B13" i="27" l="1"/>
  <c r="B5" i="27"/>
  <c r="K358" i="5"/>
  <c r="J358" i="5"/>
  <c r="I358" i="5"/>
  <c r="G2" i="27"/>
  <c r="D2" i="27"/>
  <c r="AQ6" i="22"/>
  <c r="AR6" i="22" s="1"/>
  <c r="AQ12" i="22"/>
  <c r="AR12" i="22" s="1"/>
  <c r="AQ5" i="22"/>
  <c r="AR5" i="22" s="1"/>
  <c r="AQ21" i="22"/>
  <c r="AR21" i="22" s="1"/>
  <c r="F51" i="14"/>
  <c r="AQ4" i="22" l="1"/>
  <c r="AR4" i="22" s="1"/>
  <c r="AQ20" i="22" l="1"/>
  <c r="AR20" i="22" s="1"/>
  <c r="Z354" i="5"/>
  <c r="AQ3" i="22" l="1"/>
  <c r="AR3" i="22" s="1"/>
  <c r="AQ2" i="22"/>
  <c r="AQ25" i="22"/>
  <c r="AR25" i="22" s="1"/>
  <c r="AQ26" i="22"/>
  <c r="AR26" i="22" s="1"/>
  <c r="AQ27" i="22"/>
  <c r="AR27" i="22" s="1"/>
  <c r="AQ28" i="22"/>
  <c r="AR28" i="22" s="1"/>
  <c r="AQ31" i="22"/>
  <c r="AR31" i="22" s="1"/>
  <c r="AR2" i="22" l="1"/>
  <c r="F50" i="14"/>
  <c r="G50" i="14" s="1"/>
  <c r="G51" i="14"/>
  <c r="G54" i="14"/>
  <c r="U358" i="5"/>
  <c r="U357" i="5"/>
  <c r="U334" i="5"/>
  <c r="U333" i="5"/>
  <c r="O333" i="5"/>
  <c r="O334" i="5"/>
  <c r="I334" i="5"/>
  <c r="I333" i="5"/>
  <c r="D333" i="5"/>
  <c r="D334" i="5"/>
  <c r="J334" i="5"/>
  <c r="J333" i="5"/>
  <c r="P333" i="5"/>
  <c r="P334" i="5"/>
  <c r="V334" i="5"/>
  <c r="V333" i="5"/>
  <c r="Z341" i="5" l="1"/>
  <c r="AB352" i="5"/>
  <c r="AB351" i="5"/>
  <c r="Z351" i="5"/>
  <c r="AB350" i="5"/>
  <c r="Z350" i="5"/>
  <c r="AB349" i="5"/>
  <c r="Z349" i="5"/>
  <c r="AB348" i="5"/>
  <c r="Z348" i="5"/>
  <c r="AB347" i="5"/>
  <c r="Z347" i="5"/>
  <c r="AB343" i="5"/>
  <c r="Z343" i="5"/>
  <c r="AB342" i="5"/>
  <c r="AA342" i="5"/>
  <c r="AA355" i="5" s="1"/>
  <c r="Z342" i="5"/>
  <c r="AB341" i="5"/>
  <c r="W361" i="5"/>
  <c r="V361" i="5"/>
  <c r="U361" i="5"/>
  <c r="W358" i="5"/>
  <c r="V358" i="5"/>
  <c r="W357" i="5"/>
  <c r="V357" i="5"/>
  <c r="W355" i="5"/>
  <c r="V355" i="5"/>
  <c r="W359" i="5" s="1"/>
  <c r="U355" i="5"/>
  <c r="Q361" i="5"/>
  <c r="P361" i="5"/>
  <c r="O361" i="5"/>
  <c r="Q358" i="5"/>
  <c r="P358" i="5"/>
  <c r="O358" i="5"/>
  <c r="Q357" i="5"/>
  <c r="P357" i="5"/>
  <c r="O357" i="5"/>
  <c r="Q355" i="5"/>
  <c r="P355" i="5"/>
  <c r="Q359" i="5" s="1"/>
  <c r="O355" i="5"/>
  <c r="K361" i="5"/>
  <c r="J361" i="5"/>
  <c r="I361" i="5"/>
  <c r="K357" i="5"/>
  <c r="J357" i="5"/>
  <c r="I357" i="5"/>
  <c r="K355" i="5"/>
  <c r="J355" i="5"/>
  <c r="K359" i="5" s="1"/>
  <c r="I355" i="5"/>
  <c r="E361" i="5"/>
  <c r="D361" i="5"/>
  <c r="C361" i="5"/>
  <c r="E358" i="5"/>
  <c r="D358" i="5"/>
  <c r="C358" i="5"/>
  <c r="E357" i="5"/>
  <c r="D357" i="5"/>
  <c r="C357" i="5"/>
  <c r="E355" i="5"/>
  <c r="D355" i="5"/>
  <c r="E359" i="5" s="1"/>
  <c r="C355" i="5"/>
  <c r="AQ11" i="22"/>
  <c r="AQ44" i="22" s="1"/>
  <c r="AM9" i="22"/>
  <c r="AI17" i="22"/>
  <c r="AJ17" i="22" s="1"/>
  <c r="AI25" i="22"/>
  <c r="AJ25" i="22" s="1"/>
  <c r="AI9" i="22"/>
  <c r="AJ9" i="22" s="1"/>
  <c r="AI16" i="22"/>
  <c r="AJ16" i="22" s="1"/>
  <c r="AI19" i="22"/>
  <c r="AJ19" i="22" s="1"/>
  <c r="F49" i="14"/>
  <c r="AB355" i="5" l="1"/>
  <c r="Z355" i="5"/>
  <c r="AR11" i="22"/>
  <c r="AI18" i="22"/>
  <c r="AJ18" i="22" s="1"/>
  <c r="AF278" i="5"/>
  <c r="AI24" i="22"/>
  <c r="AJ24" i="22" s="1"/>
  <c r="AI15" i="22"/>
  <c r="AJ15" i="22" s="1"/>
  <c r="AI26" i="22"/>
  <c r="AJ26" i="22" s="1"/>
  <c r="AR32" i="22" l="1"/>
  <c r="AR44" i="22" s="1"/>
  <c r="AI23" i="22"/>
  <c r="AJ23" i="22" s="1"/>
  <c r="AI7" i="22"/>
  <c r="AJ7" i="22" s="1"/>
  <c r="F48" i="14"/>
  <c r="AI14" i="22"/>
  <c r="AJ14" i="22" s="1"/>
  <c r="AB330" i="5"/>
  <c r="AI8" i="22"/>
  <c r="AJ8" i="22" s="1"/>
  <c r="AI22" i="22"/>
  <c r="AJ22" i="22" s="1"/>
  <c r="AI13" i="22"/>
  <c r="AJ13" i="22" s="1"/>
  <c r="AI6" i="22"/>
  <c r="AJ6" i="22" s="1"/>
  <c r="F47" i="14" l="1"/>
  <c r="AI12" i="22"/>
  <c r="AI27" i="22"/>
  <c r="AJ27" i="22" s="1"/>
  <c r="AI5" i="22"/>
  <c r="AJ5" i="22" s="1"/>
  <c r="AI4" i="22"/>
  <c r="AJ4" i="22" s="1"/>
  <c r="E334" i="5"/>
  <c r="E333" i="5"/>
  <c r="C334" i="5"/>
  <c r="C333" i="5"/>
  <c r="AI11" i="22"/>
  <c r="AJ11" i="22" s="1"/>
  <c r="AI3" i="22"/>
  <c r="AJ3" i="22" s="1"/>
  <c r="AI21" i="22"/>
  <c r="AJ21" i="22" s="1"/>
  <c r="F46" i="14"/>
  <c r="AI2" i="22"/>
  <c r="AJ2" i="22" s="1"/>
  <c r="AI10" i="22" l="1"/>
  <c r="AJ10" i="22" s="1"/>
  <c r="AB295" i="5" l="1"/>
  <c r="D80" i="8"/>
  <c r="C80" i="8"/>
  <c r="B80" i="8"/>
  <c r="AI20" i="22"/>
  <c r="AJ20" i="22" s="1"/>
  <c r="AJ28" i="22" s="1"/>
  <c r="Z299" i="5"/>
  <c r="W308" i="5"/>
  <c r="V308" i="5"/>
  <c r="U307" i="5"/>
  <c r="U308" i="5"/>
  <c r="W307" i="5"/>
  <c r="V307" i="5"/>
  <c r="Z298" i="5"/>
  <c r="O308" i="5"/>
  <c r="AA34" i="22" l="1"/>
  <c r="AB34" i="22" s="1"/>
  <c r="AA28" i="22"/>
  <c r="AB28" i="22" s="1"/>
  <c r="AA12" i="22"/>
  <c r="AB12" i="22" s="1"/>
  <c r="G47" i="14"/>
  <c r="G48" i="14"/>
  <c r="G49" i="14"/>
  <c r="G46" i="14"/>
  <c r="AA11" i="22"/>
  <c r="AB11" i="22" s="1"/>
  <c r="AA27" i="22"/>
  <c r="AB27" i="22" s="1"/>
  <c r="F45" i="14"/>
  <c r="G45" i="14" s="1"/>
  <c r="AA33" i="22" l="1"/>
  <c r="AB33" i="22" s="1"/>
  <c r="AA26" i="22"/>
  <c r="AB26" i="22" s="1"/>
  <c r="AA38" i="22"/>
  <c r="AB38" i="22" s="1"/>
  <c r="AA32" i="22"/>
  <c r="AB32" i="22" s="1"/>
  <c r="AA17" i="22"/>
  <c r="AB17" i="22" s="1"/>
  <c r="AA16" i="22" l="1"/>
  <c r="AB16" i="22" s="1"/>
  <c r="Z329" i="5"/>
  <c r="Z328" i="5"/>
  <c r="Z327" i="5"/>
  <c r="Z324" i="5"/>
  <c r="Z322" i="5"/>
  <c r="Z321" i="5"/>
  <c r="AB324" i="5"/>
  <c r="Z325" i="5"/>
  <c r="AA324" i="5"/>
  <c r="Z323" i="5"/>
  <c r="Z317" i="5"/>
  <c r="AB329" i="5"/>
  <c r="AA329" i="5"/>
  <c r="AB328" i="5"/>
  <c r="AA328" i="5"/>
  <c r="AB327" i="5"/>
  <c r="AA327" i="5"/>
  <c r="AB326" i="5"/>
  <c r="AA326" i="5"/>
  <c r="Z326" i="5"/>
  <c r="AB325" i="5"/>
  <c r="AA325" i="5"/>
  <c r="AB322" i="5"/>
  <c r="AA322" i="5"/>
  <c r="AB323" i="5"/>
  <c r="AA323" i="5"/>
  <c r="AB321" i="5"/>
  <c r="AA321" i="5"/>
  <c r="AB320" i="5"/>
  <c r="AA320" i="5"/>
  <c r="Z320" i="5"/>
  <c r="AB319" i="5"/>
  <c r="AA319" i="5"/>
  <c r="Z319" i="5"/>
  <c r="AB318" i="5"/>
  <c r="AA318" i="5"/>
  <c r="Z318" i="5"/>
  <c r="AB317" i="5"/>
  <c r="AA317" i="5"/>
  <c r="W337" i="5"/>
  <c r="V337" i="5"/>
  <c r="U337" i="5"/>
  <c r="W334" i="5"/>
  <c r="W333" i="5"/>
  <c r="W331" i="5"/>
  <c r="V331" i="5"/>
  <c r="W335" i="5" s="1"/>
  <c r="U331" i="5"/>
  <c r="Q337" i="5"/>
  <c r="P337" i="5"/>
  <c r="O337" i="5"/>
  <c r="Q334" i="5"/>
  <c r="Q333" i="5"/>
  <c r="Q331" i="5"/>
  <c r="P331" i="5"/>
  <c r="Q335" i="5" s="1"/>
  <c r="O331" i="5"/>
  <c r="K337" i="5"/>
  <c r="J337" i="5"/>
  <c r="I337" i="5"/>
  <c r="K334" i="5"/>
  <c r="K333" i="5"/>
  <c r="K331" i="5"/>
  <c r="J331" i="5"/>
  <c r="K335" i="5" s="1"/>
  <c r="I331" i="5"/>
  <c r="E337" i="5"/>
  <c r="D337" i="5"/>
  <c r="C337" i="5"/>
  <c r="E331" i="5"/>
  <c r="D331" i="5"/>
  <c r="E335" i="5" s="1"/>
  <c r="C331" i="5"/>
  <c r="AA331" i="5" l="1"/>
  <c r="AB331" i="5"/>
  <c r="Z331" i="5"/>
  <c r="AA31" i="22"/>
  <c r="AB31" i="22" s="1"/>
  <c r="AA10" i="22"/>
  <c r="AB10" i="22" s="1"/>
  <c r="AA25" i="22"/>
  <c r="AB25" i="22" s="1"/>
  <c r="F44" i="14"/>
  <c r="AA24" i="22"/>
  <c r="AB24" i="22" s="1"/>
  <c r="AA7" i="22" l="1"/>
  <c r="AB7" i="22" s="1"/>
  <c r="AA6" i="22" l="1"/>
  <c r="AB6" i="22" s="1"/>
  <c r="AA37" i="22"/>
  <c r="AB37" i="22" s="1"/>
  <c r="AB41" i="22"/>
  <c r="AA23" i="22" l="1"/>
  <c r="AB23" i="22" s="1"/>
  <c r="AA15" i="22" l="1"/>
  <c r="AB15" i="22" s="1"/>
  <c r="AA22" i="22"/>
  <c r="AB22" i="22" s="1"/>
  <c r="AA21" i="22"/>
  <c r="AB21" i="22" s="1"/>
  <c r="F43" i="14"/>
  <c r="AA5" i="22"/>
  <c r="AB5" i="22" s="1"/>
  <c r="AA9" i="22" l="1"/>
  <c r="AB9" i="22" s="1"/>
  <c r="AA4" i="22" l="1"/>
  <c r="AB4" i="22" s="1"/>
  <c r="AH245" i="5"/>
  <c r="AH243" i="5"/>
  <c r="AF243" i="5"/>
  <c r="AF245" i="5"/>
  <c r="AA20" i="22"/>
  <c r="AB20" i="22" s="1"/>
  <c r="AA19" i="22"/>
  <c r="AB19" i="22" s="1"/>
  <c r="AA61" i="22"/>
  <c r="Z61" i="22"/>
  <c r="Y61" i="22"/>
  <c r="AA30" i="22"/>
  <c r="AB30" i="22" s="1"/>
  <c r="F42" i="14"/>
  <c r="AB293" i="5"/>
  <c r="AB294" i="5"/>
  <c r="AB299" i="5"/>
  <c r="AB296" i="5"/>
  <c r="AB298" i="5"/>
  <c r="AB297" i="5"/>
  <c r="AB300" i="5"/>
  <c r="AB301" i="5"/>
  <c r="AB302" i="5"/>
  <c r="AB303" i="5"/>
  <c r="AB304" i="5"/>
  <c r="AB292" i="5"/>
  <c r="AA293" i="5"/>
  <c r="AA294" i="5"/>
  <c r="AA295" i="5"/>
  <c r="AA299" i="5"/>
  <c r="AA296" i="5"/>
  <c r="AA298" i="5"/>
  <c r="AA297" i="5"/>
  <c r="AA300" i="5"/>
  <c r="AA301" i="5"/>
  <c r="AA302" i="5"/>
  <c r="AA303" i="5"/>
  <c r="AA304" i="5"/>
  <c r="AA292" i="5"/>
  <c r="Z293" i="5"/>
  <c r="Z294" i="5"/>
  <c r="Z295" i="5"/>
  <c r="Z296" i="5"/>
  <c r="Z297" i="5"/>
  <c r="Z300" i="5"/>
  <c r="Z301" i="5"/>
  <c r="Z302" i="5"/>
  <c r="Z303" i="5"/>
  <c r="Z304" i="5"/>
  <c r="Z292" i="5"/>
  <c r="AB306" i="5" l="1"/>
  <c r="AA306" i="5"/>
  <c r="Z306" i="5"/>
  <c r="AA14" i="22"/>
  <c r="AB14" i="22" s="1"/>
  <c r="W312" i="5" l="1"/>
  <c r="V312" i="5"/>
  <c r="U312" i="5"/>
  <c r="Q313" i="5"/>
  <c r="P313" i="5"/>
  <c r="O313" i="5"/>
  <c r="K313" i="5"/>
  <c r="J313" i="5"/>
  <c r="I313" i="5"/>
  <c r="E313" i="5"/>
  <c r="D313" i="5"/>
  <c r="C313" i="5"/>
  <c r="Q310" i="5"/>
  <c r="P310" i="5"/>
  <c r="O310" i="5"/>
  <c r="K310" i="5"/>
  <c r="J310" i="5"/>
  <c r="I310" i="5"/>
  <c r="E310" i="5"/>
  <c r="D310" i="5"/>
  <c r="C310" i="5"/>
  <c r="Q309" i="5"/>
  <c r="P309" i="5"/>
  <c r="O309" i="5"/>
  <c r="K309" i="5"/>
  <c r="J309" i="5"/>
  <c r="I309" i="5"/>
  <c r="E309" i="5"/>
  <c r="D309" i="5"/>
  <c r="C309" i="5"/>
  <c r="Q308" i="5"/>
  <c r="P308" i="5"/>
  <c r="K308" i="5"/>
  <c r="J308" i="5"/>
  <c r="I308" i="5"/>
  <c r="E308" i="5"/>
  <c r="D308" i="5"/>
  <c r="C308" i="5"/>
  <c r="W305" i="5"/>
  <c r="V305" i="5"/>
  <c r="W310" i="5" s="1"/>
  <c r="U305" i="5"/>
  <c r="Q306" i="5"/>
  <c r="P306" i="5"/>
  <c r="Q311" i="5" s="1"/>
  <c r="O306" i="5"/>
  <c r="K306" i="5"/>
  <c r="J306" i="5"/>
  <c r="K311" i="5" s="1"/>
  <c r="I306" i="5"/>
  <c r="E306" i="5"/>
  <c r="D306" i="5"/>
  <c r="E311" i="5" s="1"/>
  <c r="C306" i="5"/>
  <c r="AA18" i="22"/>
  <c r="AB18" i="22" s="1"/>
  <c r="AA13" i="22"/>
  <c r="AB13" i="22" s="1"/>
  <c r="AA29" i="22"/>
  <c r="AB29" i="22" s="1"/>
  <c r="AB39" i="22"/>
  <c r="AA3" i="22"/>
  <c r="AB3" i="22" s="1"/>
  <c r="AA35" i="22"/>
  <c r="AB35" i="22" s="1"/>
  <c r="AA36" i="22"/>
  <c r="AB36" i="22" s="1"/>
  <c r="AA2" i="22"/>
  <c r="AB2" i="22" s="1"/>
  <c r="AF271" i="5"/>
  <c r="AF269" i="5"/>
  <c r="AH269" i="5"/>
  <c r="AH271" i="5"/>
  <c r="L23" i="22"/>
  <c r="M23" i="22" s="1"/>
  <c r="L24" i="22"/>
  <c r="M24" i="22" s="1"/>
  <c r="L25" i="22"/>
  <c r="M25" i="22" s="1"/>
  <c r="L26" i="22"/>
  <c r="M26" i="22" s="1"/>
  <c r="L27" i="22"/>
  <c r="M27" i="22" s="1"/>
  <c r="L28" i="22"/>
  <c r="M28" i="22" s="1"/>
  <c r="L29" i="22"/>
  <c r="M29" i="22" s="1"/>
  <c r="L30" i="22"/>
  <c r="M30" i="22" s="1"/>
  <c r="L31" i="22"/>
  <c r="M31" i="22" s="1"/>
  <c r="L32" i="22"/>
  <c r="M32" i="22" s="1"/>
  <c r="L33" i="22"/>
  <c r="M33" i="22" s="1"/>
  <c r="L34" i="22"/>
  <c r="M34" i="22" s="1"/>
  <c r="L35" i="22"/>
  <c r="M35" i="22" s="1"/>
  <c r="L36" i="22"/>
  <c r="M36" i="22" s="1"/>
  <c r="L37" i="22"/>
  <c r="M37" i="22" s="1"/>
  <c r="L38" i="22"/>
  <c r="M38" i="22" s="1"/>
  <c r="L39" i="22"/>
  <c r="M39" i="22" s="1"/>
  <c r="L40" i="22"/>
  <c r="M40" i="22" s="1"/>
  <c r="L41" i="22"/>
  <c r="M41" i="22" s="1"/>
  <c r="L42" i="22"/>
  <c r="M42" i="22" s="1"/>
  <c r="L43" i="22"/>
  <c r="M43" i="22" s="1"/>
  <c r="F41" i="14"/>
  <c r="T38" i="22"/>
  <c r="U38" i="22" s="1"/>
  <c r="T20" i="22"/>
  <c r="U20" i="22" s="1"/>
  <c r="T34" i="22"/>
  <c r="U34" i="22" s="1"/>
  <c r="T7" i="22"/>
  <c r="U7" i="22" s="1"/>
  <c r="AB45" i="22" l="1"/>
  <c r="AB46" i="22" s="1"/>
  <c r="T19" i="22"/>
  <c r="U19" i="22" s="1"/>
  <c r="F40" i="14"/>
  <c r="T18" i="22"/>
  <c r="U18" i="22" s="1"/>
  <c r="T32" i="22"/>
  <c r="U32" i="22" s="1"/>
  <c r="T31" i="22"/>
  <c r="U31" i="22" s="1"/>
  <c r="T30" i="22"/>
  <c r="U30" i="22" s="1"/>
  <c r="T17" i="22"/>
  <c r="U17" i="22" s="1"/>
  <c r="T12" i="22"/>
  <c r="U12" i="22" s="1"/>
  <c r="T11" i="22"/>
  <c r="U11" i="22" s="1"/>
  <c r="T29" i="22" l="1"/>
  <c r="U29" i="22" s="1"/>
  <c r="O26" i="26"/>
  <c r="O54" i="26" s="1"/>
  <c r="AF109" i="5" l="1"/>
  <c r="AF110" i="5"/>
  <c r="AF111" i="5"/>
  <c r="AF112" i="5"/>
  <c r="AF113" i="5"/>
  <c r="AF114" i="5"/>
  <c r="AF115" i="5"/>
  <c r="AF116" i="5"/>
  <c r="AF117" i="5"/>
  <c r="AF118" i="5"/>
  <c r="AF119" i="5"/>
  <c r="AF120" i="5"/>
  <c r="AF121" i="5"/>
  <c r="AF122" i="5"/>
  <c r="AF123" i="5"/>
  <c r="AF108" i="5"/>
  <c r="AF82" i="5"/>
  <c r="AF83" i="5"/>
  <c r="AF84" i="5"/>
  <c r="AF85" i="5"/>
  <c r="AF86" i="5"/>
  <c r="AF87" i="5"/>
  <c r="AF88" i="5"/>
  <c r="AF89" i="5"/>
  <c r="AF90" i="5"/>
  <c r="AF91" i="5"/>
  <c r="AF92" i="5"/>
  <c r="AF93" i="5"/>
  <c r="AF94" i="5"/>
  <c r="AF95" i="5"/>
  <c r="AF96" i="5"/>
  <c r="AF81" i="5"/>
  <c r="AF55" i="5"/>
  <c r="AF56" i="5"/>
  <c r="AF57" i="5"/>
  <c r="AF58" i="5"/>
  <c r="AF59" i="5"/>
  <c r="AF60" i="5"/>
  <c r="AF61" i="5"/>
  <c r="AF62" i="5"/>
  <c r="AF63" i="5"/>
  <c r="AF64" i="5"/>
  <c r="AF65" i="5"/>
  <c r="AF66" i="5"/>
  <c r="AF67" i="5"/>
  <c r="AF68" i="5"/>
  <c r="AF69" i="5"/>
  <c r="AF54" i="5"/>
  <c r="T36" i="22"/>
  <c r="U36" i="22" s="1"/>
  <c r="AF124" i="5" l="1"/>
  <c r="AF97" i="5"/>
  <c r="AF70" i="5"/>
  <c r="AF274" i="5" l="1"/>
  <c r="AF268" i="5"/>
  <c r="AF270" i="5"/>
  <c r="AF272" i="5"/>
  <c r="AF273" i="5"/>
  <c r="AF275" i="5"/>
  <c r="AF276" i="5"/>
  <c r="AF277" i="5"/>
  <c r="AF279" i="5"/>
  <c r="AF280" i="5"/>
  <c r="AF267" i="5"/>
  <c r="T37" i="22" l="1"/>
  <c r="U37" i="22" s="1"/>
  <c r="T6" i="22"/>
  <c r="U6" i="22" s="1"/>
  <c r="T5" i="22"/>
  <c r="U5" i="22" s="1"/>
  <c r="T35" i="22"/>
  <c r="U35" i="22" s="1"/>
  <c r="F39" i="14" l="1"/>
  <c r="T4" i="22" l="1"/>
  <c r="U4" i="22" s="1"/>
  <c r="W287" i="5"/>
  <c r="V287" i="5"/>
  <c r="U287" i="5"/>
  <c r="Q287" i="5"/>
  <c r="P287" i="5"/>
  <c r="O287" i="5"/>
  <c r="K287" i="5"/>
  <c r="J287" i="5"/>
  <c r="I287" i="5"/>
  <c r="E287" i="5"/>
  <c r="D287" i="5"/>
  <c r="C287" i="5"/>
  <c r="W284" i="5"/>
  <c r="V284" i="5"/>
  <c r="U284" i="5"/>
  <c r="Q284" i="5"/>
  <c r="P284" i="5"/>
  <c r="O284" i="5"/>
  <c r="K284" i="5"/>
  <c r="J284" i="5"/>
  <c r="I284" i="5"/>
  <c r="E284" i="5"/>
  <c r="D284" i="5"/>
  <c r="C284" i="5"/>
  <c r="W283" i="5"/>
  <c r="V283" i="5"/>
  <c r="U283" i="5"/>
  <c r="Q283" i="5"/>
  <c r="P283" i="5"/>
  <c r="O283" i="5"/>
  <c r="K283" i="5"/>
  <c r="J283" i="5"/>
  <c r="I283" i="5"/>
  <c r="E283" i="5"/>
  <c r="D283" i="5"/>
  <c r="C283" i="5"/>
  <c r="W282" i="5"/>
  <c r="V282" i="5"/>
  <c r="U282" i="5"/>
  <c r="Q282" i="5"/>
  <c r="P282" i="5"/>
  <c r="O282" i="5"/>
  <c r="K282" i="5"/>
  <c r="J282" i="5"/>
  <c r="I282" i="5"/>
  <c r="E282" i="5"/>
  <c r="D282" i="5"/>
  <c r="C282" i="5"/>
  <c r="AM280" i="5"/>
  <c r="AL280" i="5"/>
  <c r="AK280" i="5"/>
  <c r="AH280" i="5"/>
  <c r="AG280" i="5"/>
  <c r="W280" i="5"/>
  <c r="V280" i="5"/>
  <c r="W285" i="5" s="1"/>
  <c r="U280" i="5"/>
  <c r="Q280" i="5"/>
  <c r="P280" i="5"/>
  <c r="Q285" i="5" s="1"/>
  <c r="O280" i="5"/>
  <c r="K280" i="5"/>
  <c r="J280" i="5"/>
  <c r="K285" i="5" s="1"/>
  <c r="I280" i="5"/>
  <c r="E280" i="5"/>
  <c r="D280" i="5"/>
  <c r="E285" i="5" s="1"/>
  <c r="C280" i="5"/>
  <c r="AH279" i="5"/>
  <c r="AG279" i="5"/>
  <c r="AH278" i="5"/>
  <c r="AG278" i="5"/>
  <c r="AH277" i="5"/>
  <c r="AG277" i="5"/>
  <c r="AM276" i="5"/>
  <c r="AL276" i="5"/>
  <c r="AK276" i="5"/>
  <c r="AH276" i="5"/>
  <c r="AG276" i="5"/>
  <c r="AH275" i="5"/>
  <c r="AG275" i="5"/>
  <c r="AH274" i="5"/>
  <c r="AG274" i="5"/>
  <c r="AH273" i="5"/>
  <c r="AG273" i="5"/>
  <c r="AH272" i="5"/>
  <c r="AG272" i="5"/>
  <c r="AM271" i="5"/>
  <c r="AL271" i="5"/>
  <c r="AK271" i="5"/>
  <c r="AG271" i="5"/>
  <c r="AH270" i="5"/>
  <c r="AG270" i="5"/>
  <c r="AG269" i="5"/>
  <c r="AH268" i="5"/>
  <c r="AG268" i="5"/>
  <c r="AH267" i="5"/>
  <c r="AG267" i="5"/>
  <c r="AH250" i="5"/>
  <c r="AM226" i="5"/>
  <c r="AL226" i="5"/>
  <c r="AK226" i="5"/>
  <c r="AM218" i="5"/>
  <c r="AN218" i="5"/>
  <c r="AL218" i="5"/>
  <c r="T16" i="22"/>
  <c r="U16" i="22" s="1"/>
  <c r="T10" i="22"/>
  <c r="U10" i="22" s="1"/>
  <c r="AH282" i="5" l="1"/>
  <c r="AG282" i="5"/>
  <c r="AF282" i="5"/>
  <c r="T24" i="22" l="1"/>
  <c r="U24" i="22" s="1"/>
  <c r="T15" i="22"/>
  <c r="U15" i="22" s="1"/>
  <c r="T23" i="22"/>
  <c r="U23" i="22" s="1"/>
  <c r="T9" i="22" l="1"/>
  <c r="U9" i="22" s="1"/>
  <c r="T33" i="22"/>
  <c r="U33" i="22" s="1"/>
  <c r="T28" i="22" l="1"/>
  <c r="U28" i="22" s="1"/>
  <c r="T22" i="22" l="1"/>
  <c r="U22" i="22" s="1"/>
  <c r="T27" i="22"/>
  <c r="U27" i="22" s="1"/>
  <c r="F38" i="14"/>
  <c r="T8" i="22" l="1"/>
  <c r="U8" i="22" s="1"/>
  <c r="T13" i="22"/>
  <c r="U13" i="22" s="1"/>
  <c r="T3" i="22"/>
  <c r="U3" i="22" s="1"/>
  <c r="AF254" i="5"/>
  <c r="AG254" i="5"/>
  <c r="AH254" i="5"/>
  <c r="T14" i="22"/>
  <c r="U14" i="22" s="1"/>
  <c r="T21" i="22"/>
  <c r="U21" i="22" s="1"/>
  <c r="T25" i="22"/>
  <c r="U25" i="22" s="1"/>
  <c r="T42" i="22"/>
  <c r="U42" i="22" s="1"/>
  <c r="T26" i="22"/>
  <c r="U26" i="22" s="1"/>
  <c r="T2" i="22"/>
  <c r="U2" i="22" s="1"/>
  <c r="AF241" i="5"/>
  <c r="F37" i="14"/>
  <c r="B61" i="8" l="1"/>
  <c r="AL197" i="5"/>
  <c r="AM197" i="5"/>
  <c r="AK197" i="5"/>
  <c r="AK191" i="5"/>
  <c r="AL254" i="5"/>
  <c r="AM254" i="5"/>
  <c r="AK254" i="5"/>
  <c r="AG227" i="5"/>
  <c r="AH227" i="5"/>
  <c r="AF227" i="5"/>
  <c r="AK250" i="5"/>
  <c r="AK245" i="5"/>
  <c r="AF242" i="5"/>
  <c r="AF244" i="5"/>
  <c r="AF246" i="5"/>
  <c r="AF247" i="5"/>
  <c r="AF248" i="5"/>
  <c r="AF249" i="5"/>
  <c r="AF250" i="5"/>
  <c r="AF251" i="5"/>
  <c r="AF252" i="5"/>
  <c r="AF253" i="5"/>
  <c r="AF255" i="5"/>
  <c r="AG242" i="5"/>
  <c r="AG243" i="5"/>
  <c r="AG244" i="5"/>
  <c r="AG245" i="5"/>
  <c r="AG246" i="5"/>
  <c r="AG247" i="5"/>
  <c r="AG248" i="5"/>
  <c r="AG249" i="5"/>
  <c r="AG250" i="5"/>
  <c r="AG251" i="5"/>
  <c r="AG252" i="5"/>
  <c r="AG253" i="5"/>
  <c r="AH242" i="5"/>
  <c r="AH244" i="5"/>
  <c r="AH246" i="5"/>
  <c r="AH247" i="5"/>
  <c r="AH248" i="5"/>
  <c r="AH249" i="5"/>
  <c r="AH251" i="5"/>
  <c r="AH252" i="5"/>
  <c r="AH253" i="5"/>
  <c r="AH241" i="5"/>
  <c r="AG241" i="5"/>
  <c r="AC261" i="5"/>
  <c r="AB261" i="5"/>
  <c r="AA261" i="5"/>
  <c r="AC258" i="5"/>
  <c r="AB258" i="5"/>
  <c r="AA258" i="5"/>
  <c r="AC257" i="5"/>
  <c r="AB257" i="5"/>
  <c r="AA257" i="5"/>
  <c r="AC256" i="5"/>
  <c r="AB256" i="5"/>
  <c r="AA256" i="5"/>
  <c r="AC254" i="5"/>
  <c r="AB254" i="5"/>
  <c r="AC259" i="5" s="1"/>
  <c r="AA254" i="5"/>
  <c r="AL250" i="5" l="1"/>
  <c r="AM250" i="5"/>
  <c r="AM245" i="5"/>
  <c r="AL245" i="5"/>
  <c r="T39" i="22"/>
  <c r="L2" i="22"/>
  <c r="M2" i="22" s="1"/>
  <c r="L20" i="22"/>
  <c r="M20" i="22" s="1"/>
  <c r="L6" i="22"/>
  <c r="M6" i="22" s="1"/>
  <c r="L11" i="22"/>
  <c r="M11" i="22" s="1"/>
  <c r="L19" i="22"/>
  <c r="M19" i="22" s="1"/>
  <c r="L5" i="22"/>
  <c r="M5" i="22" s="1"/>
  <c r="F36" i="14"/>
  <c r="D48" i="8"/>
  <c r="C48" i="8"/>
  <c r="B48" i="8"/>
  <c r="L18" i="22"/>
  <c r="M18" i="22" s="1"/>
  <c r="L17" i="22"/>
  <c r="M17" i="22" s="1"/>
  <c r="U39" i="22" l="1"/>
  <c r="U43" i="22" s="1"/>
  <c r="U44" i="22" s="1"/>
  <c r="L10" i="22"/>
  <c r="M10" i="22" s="1"/>
  <c r="F35" i="14"/>
  <c r="L16" i="22" l="1"/>
  <c r="M16" i="22" s="1"/>
  <c r="L15" i="22" l="1"/>
  <c r="M15" i="22" s="1"/>
  <c r="L9" i="22"/>
  <c r="M9" i="22" s="1"/>
  <c r="L14" i="22" l="1"/>
  <c r="M14" i="22" s="1"/>
  <c r="L8" i="22"/>
  <c r="M8" i="22" s="1"/>
  <c r="F34" i="14" l="1"/>
  <c r="L13" i="22"/>
  <c r="M13" i="22" s="1"/>
  <c r="W261" i="5" l="1"/>
  <c r="V261" i="5"/>
  <c r="U261" i="5"/>
  <c r="Q261" i="5"/>
  <c r="P261" i="5"/>
  <c r="O261" i="5"/>
  <c r="K261" i="5"/>
  <c r="J261" i="5"/>
  <c r="I261" i="5"/>
  <c r="E261" i="5"/>
  <c r="D261" i="5"/>
  <c r="C261" i="5"/>
  <c r="W258" i="5"/>
  <c r="V258" i="5"/>
  <c r="U258" i="5"/>
  <c r="Q258" i="5"/>
  <c r="P258" i="5"/>
  <c r="O258" i="5"/>
  <c r="K258" i="5"/>
  <c r="J258" i="5"/>
  <c r="I258" i="5"/>
  <c r="E258" i="5"/>
  <c r="D258" i="5"/>
  <c r="C258" i="5"/>
  <c r="W257" i="5"/>
  <c r="V257" i="5"/>
  <c r="U257" i="5"/>
  <c r="Q257" i="5"/>
  <c r="P257" i="5"/>
  <c r="O257" i="5"/>
  <c r="K257" i="5"/>
  <c r="J257" i="5"/>
  <c r="I257" i="5"/>
  <c r="E257" i="5"/>
  <c r="D257" i="5"/>
  <c r="C257" i="5"/>
  <c r="W256" i="5"/>
  <c r="V256" i="5"/>
  <c r="U256" i="5"/>
  <c r="Q256" i="5"/>
  <c r="P256" i="5"/>
  <c r="O256" i="5"/>
  <c r="K256" i="5"/>
  <c r="J256" i="5"/>
  <c r="I256" i="5"/>
  <c r="E256" i="5"/>
  <c r="D256" i="5"/>
  <c r="C256" i="5"/>
  <c r="W254" i="5"/>
  <c r="V254" i="5"/>
  <c r="W259" i="5" s="1"/>
  <c r="U254" i="5"/>
  <c r="Q254" i="5"/>
  <c r="P254" i="5"/>
  <c r="Q259" i="5" s="1"/>
  <c r="O254" i="5"/>
  <c r="K254" i="5"/>
  <c r="J254" i="5"/>
  <c r="K259" i="5" s="1"/>
  <c r="I254" i="5"/>
  <c r="E254" i="5"/>
  <c r="D254" i="5"/>
  <c r="E259" i="5" s="1"/>
  <c r="C254" i="5"/>
  <c r="AG256" i="5" l="1"/>
  <c r="AF256" i="5"/>
  <c r="AH256" i="5"/>
  <c r="L4" i="22"/>
  <c r="M4" i="22" s="1"/>
  <c r="G29" i="14"/>
  <c r="G30" i="14"/>
  <c r="G31" i="14"/>
  <c r="G32" i="14"/>
  <c r="G34" i="14"/>
  <c r="G35" i="14"/>
  <c r="G36" i="14"/>
  <c r="G37" i="14"/>
  <c r="G38" i="14"/>
  <c r="G39" i="14"/>
  <c r="G40" i="14"/>
  <c r="G41" i="14"/>
  <c r="G42" i="14"/>
  <c r="G43" i="14"/>
  <c r="G44" i="14"/>
  <c r="L3" i="22"/>
  <c r="M3" i="22" s="1"/>
  <c r="L7" i="22"/>
  <c r="M7" i="22" s="1"/>
  <c r="L12" i="22"/>
  <c r="M12" i="22" s="1"/>
  <c r="L22" i="22"/>
  <c r="M22" i="22" s="1"/>
  <c r="F33" i="14"/>
  <c r="G33" i="14" s="1"/>
  <c r="D5" i="22"/>
  <c r="E5" i="22" s="1"/>
  <c r="D35" i="22"/>
  <c r="E35" i="22" s="1"/>
  <c r="D36" i="22"/>
  <c r="E36" i="22" s="1"/>
  <c r="D9" i="22"/>
  <c r="E9" i="22" s="1"/>
  <c r="M44" i="22" l="1"/>
  <c r="M45" i="22" s="1"/>
  <c r="D15" i="22"/>
  <c r="E15" i="22" s="1"/>
  <c r="D4" i="22"/>
  <c r="E4" i="22" s="1"/>
  <c r="D28" i="22" l="1"/>
  <c r="E28" i="22" s="1"/>
  <c r="D3" i="22" l="1"/>
  <c r="E3" i="22" s="1"/>
  <c r="D22" i="22"/>
  <c r="E22" i="22" s="1"/>
  <c r="D14" i="22" l="1"/>
  <c r="E14" i="22" s="1"/>
  <c r="D32" i="22"/>
  <c r="E32" i="22" s="1"/>
  <c r="D37" i="22"/>
  <c r="E37" i="22" s="1"/>
  <c r="D13" i="22"/>
  <c r="E13" i="22" s="1"/>
  <c r="D11" i="22" l="1"/>
  <c r="E11" i="22" s="1"/>
  <c r="D25" i="22"/>
  <c r="E25" i="22" s="1"/>
  <c r="D8" i="22" l="1"/>
  <c r="E8" i="22" s="1"/>
  <c r="D38" i="22"/>
  <c r="E38" i="22" s="1"/>
  <c r="D7" i="22" l="1"/>
  <c r="E7" i="22" s="1"/>
  <c r="AC214" i="5" l="1"/>
  <c r="AC215" i="5"/>
  <c r="AC216" i="5"/>
  <c r="AC217" i="5"/>
  <c r="AC218" i="5"/>
  <c r="AC219" i="5"/>
  <c r="AC220" i="5"/>
  <c r="AC221" i="5"/>
  <c r="AC222" i="5"/>
  <c r="AC223" i="5"/>
  <c r="AC224" i="5"/>
  <c r="AC225" i="5"/>
  <c r="AC226" i="5"/>
  <c r="AB214" i="5"/>
  <c r="AB215" i="5"/>
  <c r="AB216" i="5"/>
  <c r="AB217" i="5"/>
  <c r="AB218" i="5"/>
  <c r="AB219" i="5"/>
  <c r="AB220" i="5"/>
  <c r="AB221" i="5"/>
  <c r="AB222" i="5"/>
  <c r="AB223" i="5"/>
  <c r="AB224" i="5"/>
  <c r="AB225" i="5"/>
  <c r="AB226" i="5"/>
  <c r="AA214" i="5"/>
  <c r="AA215" i="5"/>
  <c r="AA216" i="5"/>
  <c r="AA217" i="5"/>
  <c r="AA218" i="5"/>
  <c r="AA219" i="5"/>
  <c r="AA220" i="5"/>
  <c r="AA221" i="5"/>
  <c r="AA222" i="5"/>
  <c r="AA223" i="5"/>
  <c r="AA224" i="5"/>
  <c r="AA225" i="5"/>
  <c r="AA226" i="5"/>
  <c r="AC213" i="5"/>
  <c r="AB213" i="5"/>
  <c r="AA213" i="5"/>
  <c r="D33" i="22"/>
  <c r="E33" i="22" s="1"/>
  <c r="AF223" i="5" l="1"/>
  <c r="AG223" i="5"/>
  <c r="AH223" i="5"/>
  <c r="AG218" i="5"/>
  <c r="AF218" i="5"/>
  <c r="AH218" i="5"/>
  <c r="AC228" i="5"/>
  <c r="AB228" i="5"/>
  <c r="AA228" i="5"/>
  <c r="D26" i="22"/>
  <c r="E26" i="22" s="1"/>
  <c r="D34" i="22" l="1"/>
  <c r="E34" i="22" s="1"/>
  <c r="I35" i="14"/>
  <c r="I36" i="14"/>
  <c r="I37" i="14"/>
  <c r="I38" i="14"/>
  <c r="I39" i="14"/>
  <c r="I40" i="14"/>
  <c r="I41" i="14"/>
  <c r="I42" i="14"/>
  <c r="I43" i="14"/>
  <c r="I44" i="14"/>
  <c r="I45" i="14"/>
  <c r="I46" i="14"/>
  <c r="I47" i="14"/>
  <c r="I48" i="14"/>
  <c r="I49" i="14"/>
  <c r="I50" i="14"/>
  <c r="I51" i="14"/>
  <c r="I52" i="14"/>
  <c r="I53" i="14"/>
  <c r="I54" i="14"/>
  <c r="D6" i="22" l="1"/>
  <c r="E6" i="22" s="1"/>
  <c r="D31" i="22" l="1"/>
  <c r="E31" i="22" s="1"/>
  <c r="D39" i="22"/>
  <c r="E39" i="22" s="1"/>
  <c r="D21" i="22"/>
  <c r="E21" i="22" s="1"/>
  <c r="I29" i="14" l="1"/>
  <c r="I30" i="14"/>
  <c r="I31" i="14"/>
  <c r="I32" i="14"/>
  <c r="I33" i="14"/>
  <c r="I34" i="14"/>
  <c r="D17" i="22"/>
  <c r="E17" i="22" s="1"/>
  <c r="D27" i="22"/>
  <c r="E27" i="22" s="1"/>
  <c r="D18" i="22"/>
  <c r="E18" i="22" s="1"/>
  <c r="D19" i="22"/>
  <c r="E19" i="22" s="1"/>
  <c r="D23" i="22"/>
  <c r="E23" i="22" s="1"/>
  <c r="D10" i="22"/>
  <c r="E10" i="22" s="1"/>
  <c r="D29" i="22"/>
  <c r="E29" i="22" s="1"/>
  <c r="D24" i="22"/>
  <c r="E24" i="22" s="1"/>
  <c r="D20" i="22"/>
  <c r="E20" i="22" s="1"/>
  <c r="D2" i="22"/>
  <c r="E2" i="22" s="1"/>
  <c r="D30" i="22"/>
  <c r="E30" i="22" s="1"/>
  <c r="D12" i="22"/>
  <c r="E12" i="22" s="1"/>
  <c r="D16" i="22"/>
  <c r="E16" i="22" s="1"/>
  <c r="F29" i="14"/>
  <c r="E41" i="22" l="1"/>
  <c r="E42" i="22" s="1"/>
  <c r="AC202" i="5"/>
  <c r="AB202" i="5"/>
  <c r="AA202" i="5"/>
  <c r="AG200" i="5"/>
  <c r="AC204" i="5"/>
  <c r="AB206" i="5"/>
  <c r="AB205" i="5"/>
  <c r="AB204" i="5"/>
  <c r="V204" i="5"/>
  <c r="AE123" i="5" l="1"/>
  <c r="AA148" i="5"/>
  <c r="AA174" i="5"/>
  <c r="AG187" i="5" l="1"/>
  <c r="AG188" i="5"/>
  <c r="AG189" i="5"/>
  <c r="AG190" i="5"/>
  <c r="AG191" i="5"/>
  <c r="AG192" i="5"/>
  <c r="AL199" i="5" s="1"/>
  <c r="AL201" i="5" s="1"/>
  <c r="AG193" i="5"/>
  <c r="AG194" i="5"/>
  <c r="AG195" i="5"/>
  <c r="AG196" i="5"/>
  <c r="AG197" i="5"/>
  <c r="AG198" i="5"/>
  <c r="AG199" i="5"/>
  <c r="AH187" i="5"/>
  <c r="AH188" i="5"/>
  <c r="AH189" i="5"/>
  <c r="AH190" i="5"/>
  <c r="AH191" i="5"/>
  <c r="AH192" i="5"/>
  <c r="AM199" i="5" s="1"/>
  <c r="AM201" i="5" s="1"/>
  <c r="AH193" i="5"/>
  <c r="AH194" i="5"/>
  <c r="AH195" i="5"/>
  <c r="AH196" i="5"/>
  <c r="AH197" i="5"/>
  <c r="AH198" i="5"/>
  <c r="AH199" i="5"/>
  <c r="AH200" i="5"/>
  <c r="AF187" i="5"/>
  <c r="AF188" i="5"/>
  <c r="AF189" i="5"/>
  <c r="AF190" i="5"/>
  <c r="AF191" i="5"/>
  <c r="AF192" i="5"/>
  <c r="AK199" i="5" s="1"/>
  <c r="AK201" i="5" s="1"/>
  <c r="AF193" i="5"/>
  <c r="AF194" i="5"/>
  <c r="AF195" i="5"/>
  <c r="AF196" i="5"/>
  <c r="AF197" i="5"/>
  <c r="AF198" i="5"/>
  <c r="AF199" i="5"/>
  <c r="AF200" i="5"/>
  <c r="AM191" i="5" l="1"/>
  <c r="AL191" i="5"/>
  <c r="AF202" i="5"/>
  <c r="AH202" i="5"/>
  <c r="AG202" i="5"/>
  <c r="I27" i="14"/>
  <c r="I26" i="14"/>
  <c r="I28" i="14"/>
  <c r="AE28" i="5"/>
  <c r="AF29" i="5"/>
  <c r="AF30" i="5"/>
  <c r="AF31" i="5"/>
  <c r="AF32" i="5"/>
  <c r="AF33" i="5"/>
  <c r="AF34" i="5"/>
  <c r="AF35" i="5"/>
  <c r="AF36" i="5"/>
  <c r="AF37" i="5"/>
  <c r="AF38" i="5"/>
  <c r="AF39" i="5"/>
  <c r="AF40" i="5"/>
  <c r="AF41" i="5"/>
  <c r="AF42" i="5"/>
  <c r="AF28" i="5"/>
  <c r="AE29" i="5"/>
  <c r="AE30" i="5"/>
  <c r="AE31" i="5"/>
  <c r="AE32" i="5"/>
  <c r="AE33" i="5"/>
  <c r="AE34" i="5"/>
  <c r="AE35" i="5"/>
  <c r="AE36" i="5"/>
  <c r="AE37" i="5"/>
  <c r="AE38" i="5"/>
  <c r="AE39" i="5"/>
  <c r="AE40" i="5"/>
  <c r="AE41" i="5"/>
  <c r="AE42" i="5"/>
  <c r="AE54" i="5"/>
  <c r="AG69" i="5"/>
  <c r="AE69" i="5"/>
  <c r="AG68" i="5"/>
  <c r="AE68" i="5"/>
  <c r="AG67" i="5"/>
  <c r="AE67" i="5"/>
  <c r="AG66" i="5"/>
  <c r="AE66" i="5"/>
  <c r="AG65" i="5"/>
  <c r="AE65" i="5"/>
  <c r="AG64" i="5"/>
  <c r="AE64" i="5"/>
  <c r="AG63" i="5"/>
  <c r="AE63" i="5"/>
  <c r="AG62" i="5"/>
  <c r="AE62" i="5"/>
  <c r="AG61" i="5"/>
  <c r="AE61" i="5"/>
  <c r="AG60" i="5"/>
  <c r="AE60" i="5"/>
  <c r="AG59" i="5"/>
  <c r="AE59" i="5"/>
  <c r="AG58" i="5"/>
  <c r="AE58" i="5"/>
  <c r="AG57" i="5"/>
  <c r="AE57" i="5"/>
  <c r="AG56" i="5"/>
  <c r="AE56" i="5"/>
  <c r="AG55" i="5"/>
  <c r="AE55" i="5"/>
  <c r="AG54" i="5"/>
  <c r="AG82" i="5"/>
  <c r="AG83" i="5"/>
  <c r="AG84" i="5"/>
  <c r="AG85" i="5"/>
  <c r="AG86" i="5"/>
  <c r="AG87" i="5"/>
  <c r="AG88" i="5"/>
  <c r="AG89" i="5"/>
  <c r="AG90" i="5"/>
  <c r="AG91" i="5"/>
  <c r="AG92" i="5"/>
  <c r="AG93" i="5"/>
  <c r="AG94" i="5"/>
  <c r="AG95" i="5"/>
  <c r="AG96" i="5"/>
  <c r="AE82" i="5"/>
  <c r="AE83" i="5"/>
  <c r="AE84" i="5"/>
  <c r="AE85" i="5"/>
  <c r="AE86" i="5"/>
  <c r="AE87" i="5"/>
  <c r="AE88" i="5"/>
  <c r="AE89" i="5"/>
  <c r="AE90" i="5"/>
  <c r="AE91" i="5"/>
  <c r="AE92" i="5"/>
  <c r="AE93" i="5"/>
  <c r="AE94" i="5"/>
  <c r="AE95" i="5"/>
  <c r="AE96" i="5"/>
  <c r="AG81" i="5"/>
  <c r="AE81" i="5"/>
  <c r="AG109" i="5"/>
  <c r="AG110" i="5"/>
  <c r="AG111" i="5"/>
  <c r="AG112" i="5"/>
  <c r="AG113" i="5"/>
  <c r="AG114" i="5"/>
  <c r="AG115" i="5"/>
  <c r="AG116" i="5"/>
  <c r="AG117" i="5"/>
  <c r="AG118" i="5"/>
  <c r="AG119" i="5"/>
  <c r="AG120" i="5"/>
  <c r="AG121" i="5"/>
  <c r="AG122" i="5"/>
  <c r="AG123" i="5"/>
  <c r="AG108" i="5"/>
  <c r="AE109" i="5"/>
  <c r="AE110" i="5"/>
  <c r="AE111" i="5"/>
  <c r="AE112" i="5"/>
  <c r="AE113" i="5"/>
  <c r="AE114" i="5"/>
  <c r="AE115" i="5"/>
  <c r="AE116" i="5"/>
  <c r="AE117" i="5"/>
  <c r="AE118" i="5"/>
  <c r="AE119" i="5"/>
  <c r="AE120" i="5"/>
  <c r="AE121" i="5"/>
  <c r="AE122" i="5"/>
  <c r="AE108" i="5"/>
  <c r="AB135" i="5"/>
  <c r="AA135" i="5"/>
  <c r="AC148" i="5"/>
  <c r="AB148" i="5"/>
  <c r="AC147" i="5"/>
  <c r="AB147" i="5"/>
  <c r="AA147" i="5"/>
  <c r="AC146" i="5"/>
  <c r="AB146" i="5"/>
  <c r="AA146" i="5"/>
  <c r="AC145" i="5"/>
  <c r="AB145" i="5"/>
  <c r="AA145" i="5"/>
  <c r="AC144" i="5"/>
  <c r="AB144" i="5"/>
  <c r="AA144" i="5"/>
  <c r="AC143" i="5"/>
  <c r="AB143" i="5"/>
  <c r="AA143" i="5"/>
  <c r="AC142" i="5"/>
  <c r="AB142" i="5"/>
  <c r="AA142" i="5"/>
  <c r="AC141" i="5"/>
  <c r="AB141" i="5"/>
  <c r="AA141" i="5"/>
  <c r="AC140" i="5"/>
  <c r="AB140" i="5"/>
  <c r="AA140" i="5"/>
  <c r="AC139" i="5"/>
  <c r="AB139" i="5"/>
  <c r="AA139" i="5"/>
  <c r="AC138" i="5"/>
  <c r="AB138" i="5"/>
  <c r="AA138" i="5"/>
  <c r="AC137" i="5"/>
  <c r="AB137" i="5"/>
  <c r="AA137" i="5"/>
  <c r="AC136" i="5"/>
  <c r="AB136" i="5"/>
  <c r="AA136" i="5"/>
  <c r="AC135" i="5"/>
  <c r="AC162" i="5"/>
  <c r="AC163" i="5"/>
  <c r="AC164" i="5"/>
  <c r="AC165" i="5"/>
  <c r="AC166" i="5"/>
  <c r="AC167" i="5"/>
  <c r="AC168" i="5"/>
  <c r="AC169" i="5"/>
  <c r="AC170" i="5"/>
  <c r="AC171" i="5"/>
  <c r="AC172" i="5"/>
  <c r="AC173" i="5"/>
  <c r="AC174" i="5"/>
  <c r="AB162" i="5"/>
  <c r="AB163" i="5"/>
  <c r="AB164" i="5"/>
  <c r="AB165" i="5"/>
  <c r="AB166" i="5"/>
  <c r="AB167" i="5"/>
  <c r="AB168" i="5"/>
  <c r="AB169" i="5"/>
  <c r="AB170" i="5"/>
  <c r="AB171" i="5"/>
  <c r="AB172" i="5"/>
  <c r="AB173" i="5"/>
  <c r="AB174" i="5"/>
  <c r="AB161" i="5"/>
  <c r="AC161" i="5"/>
  <c r="AA162" i="5"/>
  <c r="AA163" i="5"/>
  <c r="AA164" i="5"/>
  <c r="AA165" i="5"/>
  <c r="AA166" i="5"/>
  <c r="AA167" i="5"/>
  <c r="AA168" i="5"/>
  <c r="AA169" i="5"/>
  <c r="AA170" i="5"/>
  <c r="AA171" i="5"/>
  <c r="AA172" i="5"/>
  <c r="AA173" i="5"/>
  <c r="AA161" i="5"/>
  <c r="W235" i="5"/>
  <c r="V235" i="5"/>
  <c r="U235" i="5"/>
  <c r="Q235" i="5"/>
  <c r="P235" i="5"/>
  <c r="O235" i="5"/>
  <c r="K235" i="5"/>
  <c r="J235" i="5"/>
  <c r="I235" i="5"/>
  <c r="E235" i="5"/>
  <c r="D235" i="5"/>
  <c r="C235" i="5"/>
  <c r="W232" i="5"/>
  <c r="V232" i="5"/>
  <c r="U232" i="5"/>
  <c r="Q232" i="5"/>
  <c r="P232" i="5"/>
  <c r="O232" i="5"/>
  <c r="K232" i="5"/>
  <c r="J232" i="5"/>
  <c r="I232" i="5"/>
  <c r="E232" i="5"/>
  <c r="D232" i="5"/>
  <c r="C232" i="5"/>
  <c r="W231" i="5"/>
  <c r="V231" i="5"/>
  <c r="U231" i="5"/>
  <c r="Q231" i="5"/>
  <c r="P231" i="5"/>
  <c r="O231" i="5"/>
  <c r="K231" i="5"/>
  <c r="J231" i="5"/>
  <c r="I231" i="5"/>
  <c r="E231" i="5"/>
  <c r="D231" i="5"/>
  <c r="C231" i="5"/>
  <c r="W230" i="5"/>
  <c r="V230" i="5"/>
  <c r="U230" i="5"/>
  <c r="Q230" i="5"/>
  <c r="P230" i="5"/>
  <c r="O230" i="5"/>
  <c r="K230" i="5"/>
  <c r="J230" i="5"/>
  <c r="I230" i="5"/>
  <c r="E230" i="5"/>
  <c r="D230" i="5"/>
  <c r="C230" i="5"/>
  <c r="W228" i="5"/>
  <c r="V228" i="5"/>
  <c r="W233" i="5" s="1"/>
  <c r="U228" i="5"/>
  <c r="Q228" i="5"/>
  <c r="P228" i="5"/>
  <c r="Q233" i="5" s="1"/>
  <c r="O228" i="5"/>
  <c r="K228" i="5"/>
  <c r="J228" i="5"/>
  <c r="K233" i="5" s="1"/>
  <c r="I228" i="5"/>
  <c r="E228" i="5"/>
  <c r="D228" i="5"/>
  <c r="E233" i="5" s="1"/>
  <c r="C228" i="5"/>
  <c r="AE70" i="5" l="1"/>
  <c r="AC176" i="5"/>
  <c r="AG124" i="5"/>
  <c r="AB176" i="5"/>
  <c r="AC150" i="5"/>
  <c r="AA176" i="5"/>
  <c r="AA150" i="5"/>
  <c r="AB150" i="5"/>
  <c r="AE97" i="5"/>
  <c r="AE124" i="5"/>
  <c r="AG97" i="5"/>
  <c r="AG70" i="5"/>
  <c r="I24" i="14"/>
  <c r="I22" i="14"/>
  <c r="I23" i="14"/>
  <c r="U4" i="14" l="1"/>
  <c r="V7" i="14"/>
  <c r="T9" i="14" s="1"/>
  <c r="O11" i="14" l="1"/>
  <c r="I21" i="14"/>
  <c r="AC209" i="5"/>
  <c r="AB209" i="5"/>
  <c r="AA209" i="5"/>
  <c r="AC207" i="5"/>
  <c r="AC206" i="5"/>
  <c r="AA206" i="5"/>
  <c r="AC205" i="5"/>
  <c r="AA205" i="5"/>
  <c r="AA204" i="5"/>
  <c r="W209" i="5"/>
  <c r="V209" i="5"/>
  <c r="U209" i="5"/>
  <c r="Q209" i="5"/>
  <c r="P209" i="5"/>
  <c r="O209" i="5"/>
  <c r="K209" i="5"/>
  <c r="J209" i="5"/>
  <c r="I209" i="5"/>
  <c r="E209" i="5"/>
  <c r="D209" i="5"/>
  <c r="C209" i="5"/>
  <c r="W206" i="5"/>
  <c r="V206" i="5"/>
  <c r="U206" i="5"/>
  <c r="Q206" i="5"/>
  <c r="P206" i="5"/>
  <c r="O206" i="5"/>
  <c r="K206" i="5"/>
  <c r="J206" i="5"/>
  <c r="I206" i="5"/>
  <c r="E206" i="5"/>
  <c r="D206" i="5"/>
  <c r="C206" i="5"/>
  <c r="W205" i="5"/>
  <c r="V205" i="5"/>
  <c r="U205" i="5"/>
  <c r="Q205" i="5"/>
  <c r="P205" i="5"/>
  <c r="O205" i="5"/>
  <c r="K205" i="5"/>
  <c r="J205" i="5"/>
  <c r="I205" i="5"/>
  <c r="E205" i="5"/>
  <c r="D205" i="5"/>
  <c r="C205" i="5"/>
  <c r="W204" i="5"/>
  <c r="U204" i="5"/>
  <c r="Q204" i="5"/>
  <c r="P204" i="5"/>
  <c r="O204" i="5"/>
  <c r="K204" i="5"/>
  <c r="J204" i="5"/>
  <c r="I204" i="5"/>
  <c r="E204" i="5"/>
  <c r="D204" i="5"/>
  <c r="C204" i="5"/>
  <c r="W202" i="5"/>
  <c r="V202" i="5"/>
  <c r="W207" i="5" s="1"/>
  <c r="U202" i="5"/>
  <c r="Q202" i="5"/>
  <c r="P202" i="5"/>
  <c r="Q207" i="5" s="1"/>
  <c r="O202" i="5"/>
  <c r="K202" i="5"/>
  <c r="J202" i="5"/>
  <c r="K207" i="5" s="1"/>
  <c r="I202" i="5"/>
  <c r="E202" i="5"/>
  <c r="D202" i="5"/>
  <c r="E207" i="5" s="1"/>
  <c r="C202" i="5"/>
  <c r="K5" i="8" l="1"/>
  <c r="K6" i="8"/>
  <c r="K4" i="8"/>
  <c r="F26" i="14" l="1"/>
  <c r="G26" i="14" s="1"/>
  <c r="F27" i="14"/>
  <c r="G27" i="14" s="1"/>
  <c r="F28" i="14"/>
  <c r="G28" i="14" s="1"/>
  <c r="F30" i="14"/>
  <c r="F31" i="14"/>
  <c r="F32" i="14"/>
  <c r="I14" i="14" l="1"/>
  <c r="I15" i="14"/>
  <c r="I16" i="14"/>
  <c r="I17" i="14"/>
  <c r="I18" i="14"/>
  <c r="I19" i="14"/>
  <c r="I20" i="14"/>
  <c r="I13" i="14"/>
  <c r="I25" i="14"/>
  <c r="W183" i="5" l="1"/>
  <c r="V183" i="5"/>
  <c r="U183" i="5"/>
  <c r="Q183" i="5"/>
  <c r="P183" i="5"/>
  <c r="O183" i="5"/>
  <c r="K183" i="5"/>
  <c r="J183" i="5"/>
  <c r="I183" i="5"/>
  <c r="E183" i="5"/>
  <c r="D183" i="5"/>
  <c r="C183" i="5"/>
  <c r="W180" i="5"/>
  <c r="V180" i="5"/>
  <c r="U180" i="5"/>
  <c r="Q180" i="5"/>
  <c r="P180" i="5"/>
  <c r="O180" i="5"/>
  <c r="K180" i="5"/>
  <c r="J180" i="5"/>
  <c r="I180" i="5"/>
  <c r="E180" i="5"/>
  <c r="D180" i="5"/>
  <c r="C180" i="5"/>
  <c r="W179" i="5"/>
  <c r="V179" i="5"/>
  <c r="U179" i="5"/>
  <c r="Q179" i="5"/>
  <c r="P179" i="5"/>
  <c r="O179" i="5"/>
  <c r="K179" i="5"/>
  <c r="J179" i="5"/>
  <c r="I179" i="5"/>
  <c r="E179" i="5"/>
  <c r="D179" i="5"/>
  <c r="C179" i="5"/>
  <c r="W178" i="5"/>
  <c r="V178" i="5"/>
  <c r="U178" i="5"/>
  <c r="Q178" i="5"/>
  <c r="P178" i="5"/>
  <c r="O178" i="5"/>
  <c r="K178" i="5"/>
  <c r="J178" i="5"/>
  <c r="I178" i="5"/>
  <c r="E178" i="5"/>
  <c r="D178" i="5"/>
  <c r="C178" i="5"/>
  <c r="W176" i="5"/>
  <c r="V176" i="5"/>
  <c r="W181" i="5" s="1"/>
  <c r="U176" i="5"/>
  <c r="Q176" i="5"/>
  <c r="P176" i="5"/>
  <c r="Q181" i="5" s="1"/>
  <c r="O176" i="5"/>
  <c r="K176" i="5"/>
  <c r="J176" i="5"/>
  <c r="K181" i="5" s="1"/>
  <c r="I176" i="5"/>
  <c r="E176" i="5"/>
  <c r="D176" i="5"/>
  <c r="E181" i="5" s="1"/>
  <c r="C176" i="5"/>
  <c r="C7" i="16"/>
  <c r="C14" i="16"/>
  <c r="C21" i="16"/>
  <c r="E21" i="16"/>
  <c r="D20" i="16"/>
  <c r="C19" i="16"/>
  <c r="E14" i="16"/>
  <c r="D13" i="16"/>
  <c r="C12" i="16"/>
  <c r="E7" i="16" l="1"/>
  <c r="D6" i="16"/>
  <c r="C5" i="16"/>
  <c r="U17" i="8"/>
  <c r="T17" i="8"/>
  <c r="S17" i="8"/>
  <c r="O17" i="8"/>
  <c r="P17" i="8"/>
  <c r="Q17" i="8"/>
  <c r="W150" i="5" l="1"/>
  <c r="V150" i="5"/>
  <c r="W155" i="5" s="1"/>
  <c r="U150" i="5"/>
  <c r="Q150" i="5"/>
  <c r="P150" i="5"/>
  <c r="Q155" i="5" s="1"/>
  <c r="O150" i="5"/>
  <c r="K150" i="5"/>
  <c r="J150" i="5"/>
  <c r="K155" i="5" s="1"/>
  <c r="I150" i="5"/>
  <c r="I157" i="5" s="1"/>
  <c r="E150" i="5"/>
  <c r="D150" i="5"/>
  <c r="E155" i="5" s="1"/>
  <c r="C150" i="5"/>
  <c r="C152" i="5"/>
  <c r="W154" i="5"/>
  <c r="V154" i="5"/>
  <c r="U154" i="5"/>
  <c r="W153" i="5"/>
  <c r="V153" i="5"/>
  <c r="U153" i="5"/>
  <c r="W152" i="5"/>
  <c r="V152" i="5"/>
  <c r="U152" i="5"/>
  <c r="W157" i="5"/>
  <c r="V157" i="5"/>
  <c r="U157" i="5"/>
  <c r="Q154" i="5"/>
  <c r="P154" i="5"/>
  <c r="O154" i="5"/>
  <c r="Q153" i="5"/>
  <c r="P153" i="5"/>
  <c r="O153" i="5"/>
  <c r="Q152" i="5"/>
  <c r="P152" i="5"/>
  <c r="O152" i="5"/>
  <c r="Q157" i="5"/>
  <c r="P157" i="5"/>
  <c r="O157" i="5"/>
  <c r="K154" i="5"/>
  <c r="J154" i="5"/>
  <c r="I154" i="5"/>
  <c r="K153" i="5"/>
  <c r="J153" i="5"/>
  <c r="I153" i="5"/>
  <c r="K152" i="5"/>
  <c r="J152" i="5"/>
  <c r="I152" i="5"/>
  <c r="K157" i="5"/>
  <c r="J157" i="5"/>
  <c r="D152" i="5"/>
  <c r="E152" i="5"/>
  <c r="D153" i="5"/>
  <c r="E153" i="5"/>
  <c r="D154" i="5"/>
  <c r="E154" i="5"/>
  <c r="C154" i="5"/>
  <c r="C153" i="5"/>
  <c r="F6" i="14" l="1"/>
  <c r="F5" i="14"/>
  <c r="F4" i="14"/>
  <c r="F16" i="14" l="1"/>
  <c r="G16" i="14" s="1"/>
  <c r="F17" i="14"/>
  <c r="G17" i="14" s="1"/>
  <c r="F18" i="14"/>
  <c r="F19" i="14"/>
  <c r="G19" i="14" s="1"/>
  <c r="F20" i="14"/>
  <c r="G20" i="14" s="1"/>
  <c r="F21" i="14"/>
  <c r="G21" i="14" s="1"/>
  <c r="F22" i="14"/>
  <c r="G22" i="14" s="1"/>
  <c r="F23" i="14"/>
  <c r="G23" i="14" s="1"/>
  <c r="F24" i="14"/>
  <c r="G24" i="14" s="1"/>
  <c r="F25" i="14"/>
  <c r="G25" i="14" s="1"/>
  <c r="G18" i="14"/>
  <c r="E157" i="5" l="1"/>
  <c r="D157" i="5"/>
  <c r="C157" i="5"/>
  <c r="F15" i="14" l="1"/>
  <c r="F14" i="14" l="1"/>
  <c r="F13" i="14" l="1"/>
  <c r="J212" i="1" l="1"/>
  <c r="J210" i="1"/>
  <c r="J208" i="1"/>
  <c r="G4" i="14" l="1"/>
  <c r="G5" i="14"/>
  <c r="G6" i="14"/>
  <c r="G13" i="14"/>
  <c r="G14" i="14"/>
  <c r="G15" i="14"/>
  <c r="AA127" i="5"/>
  <c r="Z127" i="5"/>
  <c r="Y127" i="5"/>
  <c r="AA126" i="5"/>
  <c r="Z126" i="5"/>
  <c r="Y126" i="5"/>
  <c r="AA125" i="5"/>
  <c r="AA131" i="5" s="1"/>
  <c r="Z125" i="5"/>
  <c r="Y125" i="5"/>
  <c r="Y131" i="5" s="1"/>
  <c r="V127" i="5"/>
  <c r="U127" i="5"/>
  <c r="T127" i="5"/>
  <c r="V126" i="5"/>
  <c r="U126" i="5"/>
  <c r="T126" i="5"/>
  <c r="V125" i="5"/>
  <c r="V131" i="5" s="1"/>
  <c r="U125" i="5"/>
  <c r="V128" i="5" s="1"/>
  <c r="T125" i="5"/>
  <c r="T131" i="5" s="1"/>
  <c r="P127" i="5"/>
  <c r="O127" i="5"/>
  <c r="N127" i="5"/>
  <c r="P126" i="5"/>
  <c r="O126" i="5"/>
  <c r="N126" i="5"/>
  <c r="P125" i="5"/>
  <c r="P131" i="5" s="1"/>
  <c r="O125" i="5"/>
  <c r="N125" i="5"/>
  <c r="N131" i="5" s="1"/>
  <c r="J127" i="5"/>
  <c r="I127" i="5"/>
  <c r="H127" i="5"/>
  <c r="J126" i="5"/>
  <c r="I126" i="5"/>
  <c r="H126" i="5"/>
  <c r="J125" i="5"/>
  <c r="J131" i="5" s="1"/>
  <c r="I125" i="5"/>
  <c r="H125" i="5"/>
  <c r="H131" i="5" s="1"/>
  <c r="E127" i="5"/>
  <c r="D127" i="5"/>
  <c r="C127" i="5"/>
  <c r="E126" i="5"/>
  <c r="D126" i="5"/>
  <c r="C126" i="5"/>
  <c r="E125" i="5"/>
  <c r="E131" i="5" s="1"/>
  <c r="D125" i="5"/>
  <c r="E128" i="5" s="1"/>
  <c r="C125" i="5"/>
  <c r="C131" i="5" s="1"/>
  <c r="Z131" i="5" l="1"/>
  <c r="AA128" i="5"/>
  <c r="I131" i="5"/>
  <c r="J128" i="5"/>
  <c r="D131" i="5"/>
  <c r="U131" i="5"/>
  <c r="O131" i="5"/>
  <c r="P128" i="5"/>
  <c r="V100" i="5"/>
  <c r="U100" i="5"/>
  <c r="T100" i="5"/>
  <c r="P100" i="5"/>
  <c r="O100" i="5"/>
  <c r="N100" i="5"/>
  <c r="J100" i="5"/>
  <c r="I100" i="5"/>
  <c r="H100" i="5"/>
  <c r="E100" i="5"/>
  <c r="D100" i="5"/>
  <c r="C100" i="5"/>
  <c r="V99" i="5"/>
  <c r="U99" i="5"/>
  <c r="T99" i="5"/>
  <c r="P99" i="5"/>
  <c r="O99" i="5"/>
  <c r="N99" i="5"/>
  <c r="J99" i="5"/>
  <c r="I99" i="5"/>
  <c r="H99" i="5"/>
  <c r="E99" i="5"/>
  <c r="D99" i="5"/>
  <c r="C99" i="5"/>
  <c r="V98" i="5"/>
  <c r="V104" i="5" s="1"/>
  <c r="U98" i="5"/>
  <c r="T98" i="5"/>
  <c r="T104" i="5" s="1"/>
  <c r="P98" i="5"/>
  <c r="P104" i="5" s="1"/>
  <c r="O98" i="5"/>
  <c r="N98" i="5"/>
  <c r="N104" i="5" s="1"/>
  <c r="J98" i="5"/>
  <c r="J104" i="5" s="1"/>
  <c r="I98" i="5"/>
  <c r="H98" i="5"/>
  <c r="H104" i="5" s="1"/>
  <c r="E98" i="5"/>
  <c r="E104" i="5" s="1"/>
  <c r="D98" i="5"/>
  <c r="C98" i="5"/>
  <c r="C104" i="5" s="1"/>
  <c r="F8" i="14"/>
  <c r="F9" i="14"/>
  <c r="G9" i="14" s="1"/>
  <c r="F10" i="14"/>
  <c r="G10" i="14" s="1"/>
  <c r="F11" i="14"/>
  <c r="G11" i="14" s="1"/>
  <c r="F12" i="14"/>
  <c r="G12" i="14" s="1"/>
  <c r="U104" i="5" l="1"/>
  <c r="V101" i="5"/>
  <c r="L8" i="14"/>
  <c r="G8" i="14"/>
  <c r="D104" i="5"/>
  <c r="E101" i="5"/>
  <c r="O104" i="5"/>
  <c r="P101" i="5"/>
  <c r="I104" i="5"/>
  <c r="J101" i="5"/>
  <c r="Q10" i="8"/>
  <c r="F7" i="14"/>
  <c r="G7" i="14" s="1"/>
  <c r="F3" i="14"/>
  <c r="G3" i="14" s="1"/>
  <c r="H212" i="1"/>
  <c r="H210" i="1"/>
  <c r="H208" i="1"/>
  <c r="L212" i="1"/>
  <c r="F212" i="1"/>
  <c r="D212" i="1"/>
  <c r="B212" i="1"/>
  <c r="L210" i="1"/>
  <c r="F210" i="1"/>
  <c r="D210" i="1"/>
  <c r="B210" i="1"/>
  <c r="L208" i="1"/>
  <c r="F208" i="1"/>
  <c r="D208" i="1"/>
  <c r="B208" i="1"/>
  <c r="H161" i="1"/>
  <c r="F161" i="1"/>
  <c r="D161" i="1"/>
  <c r="B161" i="1"/>
  <c r="H159" i="1"/>
  <c r="F159" i="1"/>
  <c r="D159" i="1"/>
  <c r="B159" i="1"/>
  <c r="H157" i="1"/>
  <c r="F157" i="1"/>
  <c r="D157" i="1"/>
  <c r="B157" i="1"/>
  <c r="M210" i="1" l="1"/>
  <c r="M208" i="1"/>
  <c r="M212" i="1"/>
  <c r="I161" i="1"/>
  <c r="I159" i="1"/>
  <c r="I157" i="1"/>
  <c r="J20" i="5"/>
  <c r="I20" i="5"/>
  <c r="H20" i="5"/>
  <c r="J19" i="5"/>
  <c r="I19" i="5"/>
  <c r="H19" i="5"/>
  <c r="E20" i="5"/>
  <c r="D20" i="5"/>
  <c r="C20" i="5"/>
  <c r="E19" i="5"/>
  <c r="D19" i="5"/>
  <c r="C19" i="5"/>
  <c r="V47" i="5"/>
  <c r="U47" i="5"/>
  <c r="T47" i="5"/>
  <c r="V46" i="5"/>
  <c r="U46" i="5"/>
  <c r="T46" i="5"/>
  <c r="P47" i="5"/>
  <c r="O47" i="5"/>
  <c r="N47" i="5"/>
  <c r="P46" i="5"/>
  <c r="O46" i="5"/>
  <c r="N46" i="5"/>
  <c r="H45" i="5"/>
  <c r="J46" i="5"/>
  <c r="I46" i="5"/>
  <c r="H46" i="5"/>
  <c r="J45" i="5"/>
  <c r="I45" i="5"/>
  <c r="E44" i="5"/>
  <c r="E45" i="5"/>
  <c r="D45" i="5"/>
  <c r="D44" i="5"/>
  <c r="C45" i="5"/>
  <c r="C44" i="5"/>
  <c r="V73" i="5"/>
  <c r="U73" i="5"/>
  <c r="T73" i="5"/>
  <c r="V72" i="5"/>
  <c r="U72" i="5"/>
  <c r="T72" i="5"/>
  <c r="V71" i="5"/>
  <c r="V77" i="5" s="1"/>
  <c r="U71" i="5"/>
  <c r="T71" i="5"/>
  <c r="T77" i="5" s="1"/>
  <c r="P73" i="5"/>
  <c r="O73" i="5"/>
  <c r="N73" i="5"/>
  <c r="P72" i="5"/>
  <c r="O72" i="5"/>
  <c r="N72" i="5"/>
  <c r="P71" i="5"/>
  <c r="P77" i="5" s="1"/>
  <c r="O71" i="5"/>
  <c r="N71" i="5"/>
  <c r="N77" i="5" s="1"/>
  <c r="J73" i="5"/>
  <c r="I73" i="5"/>
  <c r="H73" i="5"/>
  <c r="J72" i="5"/>
  <c r="I72" i="5"/>
  <c r="H72" i="5"/>
  <c r="J71" i="5"/>
  <c r="J77" i="5" s="1"/>
  <c r="I71" i="5"/>
  <c r="H71" i="5"/>
  <c r="H77" i="5" s="1"/>
  <c r="E73" i="5"/>
  <c r="D73" i="5"/>
  <c r="C73" i="5"/>
  <c r="E72" i="5"/>
  <c r="D72" i="5"/>
  <c r="C72" i="5"/>
  <c r="E71" i="5"/>
  <c r="E77" i="5" s="1"/>
  <c r="D71" i="5"/>
  <c r="C71" i="5"/>
  <c r="C77" i="5" s="1"/>
  <c r="AA47" i="5"/>
  <c r="Z47" i="5"/>
  <c r="Y47" i="5"/>
  <c r="AA46" i="5"/>
  <c r="Z46" i="5"/>
  <c r="Y46" i="5"/>
  <c r="Y45" i="5"/>
  <c r="Y50" i="5" s="1"/>
  <c r="AA45" i="5"/>
  <c r="AA50" i="5" s="1"/>
  <c r="Z45" i="5"/>
  <c r="H110" i="1"/>
  <c r="F110" i="1"/>
  <c r="D110" i="1"/>
  <c r="B110" i="1"/>
  <c r="H108" i="1"/>
  <c r="F108" i="1"/>
  <c r="D108" i="1"/>
  <c r="B108" i="1"/>
  <c r="H106" i="1"/>
  <c r="F106" i="1"/>
  <c r="D106" i="1"/>
  <c r="B106" i="1"/>
  <c r="V45" i="5"/>
  <c r="V50" i="5" s="1"/>
  <c r="U45" i="5"/>
  <c r="T45" i="5"/>
  <c r="T50" i="5" s="1"/>
  <c r="P45" i="5"/>
  <c r="P50" i="5" s="1"/>
  <c r="O45" i="5"/>
  <c r="N45" i="5"/>
  <c r="N50" i="5" s="1"/>
  <c r="H44" i="5"/>
  <c r="H49" i="5" s="1"/>
  <c r="I44" i="5"/>
  <c r="I49" i="5" s="1"/>
  <c r="J44" i="5"/>
  <c r="J49" i="5" s="1"/>
  <c r="J161" i="1" l="1"/>
  <c r="O77" i="5"/>
  <c r="P74" i="5"/>
  <c r="U50" i="5"/>
  <c r="V48" i="5"/>
  <c r="D77" i="5"/>
  <c r="E74" i="5"/>
  <c r="O50" i="5"/>
  <c r="P48" i="5"/>
  <c r="I77" i="5"/>
  <c r="J74" i="5"/>
  <c r="Z50" i="5"/>
  <c r="AA48" i="5"/>
  <c r="U77" i="5"/>
  <c r="V74" i="5"/>
  <c r="I47" i="5"/>
  <c r="E46" i="5"/>
  <c r="J47" i="5"/>
  <c r="H47" i="5"/>
  <c r="I108" i="1"/>
  <c r="I106" i="1"/>
  <c r="I110" i="1"/>
  <c r="C46" i="5"/>
  <c r="D46" i="5"/>
  <c r="H21" i="5"/>
  <c r="J21" i="5"/>
  <c r="I21" i="5"/>
  <c r="D21" i="5"/>
  <c r="E21" i="5"/>
  <c r="C21" i="5"/>
  <c r="E43" i="5"/>
  <c r="D43" i="5"/>
  <c r="C43" i="5"/>
  <c r="J59" i="1"/>
  <c r="J57" i="1"/>
  <c r="J55" i="1"/>
  <c r="H59" i="1"/>
  <c r="H57" i="1"/>
  <c r="H55" i="1"/>
  <c r="F59" i="1"/>
  <c r="F57" i="1"/>
  <c r="F55" i="1"/>
  <c r="H18" i="5"/>
  <c r="H23" i="5" s="1"/>
  <c r="I18" i="5"/>
  <c r="I23" i="5" s="1"/>
  <c r="J18" i="5"/>
  <c r="J23" i="5" s="1"/>
  <c r="D59" i="1"/>
  <c r="D57" i="1"/>
  <c r="D55" i="1"/>
  <c r="J8" i="1"/>
  <c r="J6" i="1"/>
  <c r="J4" i="1"/>
  <c r="H8" i="1"/>
  <c r="H6" i="1"/>
  <c r="H4" i="1"/>
  <c r="F8" i="1"/>
  <c r="F6" i="1"/>
  <c r="F4" i="1"/>
  <c r="D8" i="1"/>
  <c r="D6" i="1"/>
  <c r="D4" i="1"/>
  <c r="B8" i="1"/>
  <c r="B6" i="1"/>
  <c r="B4" i="1"/>
  <c r="B59" i="1"/>
  <c r="B57" i="1"/>
  <c r="B55" i="1"/>
  <c r="E18" i="5"/>
  <c r="E23" i="5" s="1"/>
  <c r="D18" i="5"/>
  <c r="D23" i="5" s="1"/>
  <c r="C18" i="5"/>
  <c r="C23" i="5" s="1"/>
  <c r="D48" i="5" l="1"/>
  <c r="E48" i="5"/>
  <c r="AF44" i="5"/>
  <c r="C48" i="5"/>
  <c r="AE43" i="5"/>
  <c r="AE44" i="5" s="1"/>
  <c r="J110" i="1"/>
  <c r="K4" i="1"/>
  <c r="K6" i="1"/>
  <c r="K8" i="1"/>
  <c r="K59" i="1"/>
  <c r="K55" i="1"/>
  <c r="K57" i="1"/>
  <c r="L8" i="1" l="1"/>
  <c r="L59" i="1"/>
  <c r="V424" i="5"/>
</calcChain>
</file>

<file path=xl/sharedStrings.xml><?xml version="1.0" encoding="utf-8"?>
<sst xmlns="http://schemas.openxmlformats.org/spreadsheetml/2006/main" count="6382" uniqueCount="1471">
  <si>
    <r>
      <rPr>
        <b/>
        <sz val="14"/>
        <color theme="1"/>
        <rFont val="Aptos Narrow"/>
        <family val="2"/>
        <scheme val="minor"/>
      </rPr>
      <t>Crystal</t>
    </r>
    <r>
      <rPr>
        <sz val="14"/>
        <color theme="1"/>
        <rFont val="Aptos Narrow"/>
        <family val="2"/>
        <scheme val="minor"/>
      </rPr>
      <t xml:space="preserve"> </t>
    </r>
    <r>
      <rPr>
        <b/>
        <sz val="14"/>
        <color theme="1"/>
        <rFont val="Aptos Narrow"/>
        <family val="2"/>
        <scheme val="minor"/>
      </rPr>
      <t>Law</t>
    </r>
  </si>
  <si>
    <t xml:space="preserve">Total </t>
  </si>
  <si>
    <t>November Total</t>
  </si>
  <si>
    <t xml:space="preserve">Starters </t>
  </si>
  <si>
    <t>Started</t>
  </si>
  <si>
    <t>Starters</t>
  </si>
  <si>
    <t>Next week Starters</t>
  </si>
  <si>
    <t>N/W Starters</t>
  </si>
  <si>
    <t>Finishers</t>
  </si>
  <si>
    <t>Katie McNamara</t>
  </si>
  <si>
    <t>Elise Cotterill</t>
  </si>
  <si>
    <t>Brittany Loveday</t>
  </si>
  <si>
    <t>Kiara Milsom</t>
  </si>
  <si>
    <t>Zane Doolan</t>
  </si>
  <si>
    <t>Jaymee-Lea McMillan</t>
  </si>
  <si>
    <t>Total</t>
  </si>
  <si>
    <t>December Totals</t>
  </si>
  <si>
    <t>January Totals</t>
  </si>
  <si>
    <t>Zane Doolan(Lisa)</t>
  </si>
  <si>
    <t>Lisa Morris</t>
  </si>
  <si>
    <t>Lisa Morris (ZANE)</t>
  </si>
  <si>
    <t>February Totals</t>
  </si>
  <si>
    <t>Lisa Morris (Zane)</t>
  </si>
  <si>
    <t>March Totals</t>
  </si>
  <si>
    <t>Week ending 17/11/24</t>
  </si>
  <si>
    <t>Week ending 24/11/24</t>
  </si>
  <si>
    <t>On contract</t>
  </si>
  <si>
    <t>Net Change Weeks</t>
  </si>
  <si>
    <t>Total Weeks</t>
  </si>
  <si>
    <t xml:space="preserve">Rebecca Morgan </t>
  </si>
  <si>
    <t>Amanda Rohweder</t>
  </si>
  <si>
    <t>Samantha Anderson</t>
  </si>
  <si>
    <t>Peter Boyce</t>
  </si>
  <si>
    <t>Tayla Doolan</t>
  </si>
  <si>
    <t>Sebastian Sikora</t>
  </si>
  <si>
    <t>Andrew Cheli</t>
  </si>
  <si>
    <t>Jaymee McMillan</t>
  </si>
  <si>
    <t>Crystal Law</t>
  </si>
  <si>
    <t>Josh/Jaymee</t>
  </si>
  <si>
    <t>Totals</t>
  </si>
  <si>
    <t>Payroll Totals</t>
  </si>
  <si>
    <t>Variance</t>
  </si>
  <si>
    <t>Week ending 2/12/24</t>
  </si>
  <si>
    <t xml:space="preserve"> </t>
  </si>
  <si>
    <t>Week ending 8/12/24</t>
  </si>
  <si>
    <t>Week ending 15/12/24</t>
  </si>
  <si>
    <t>Week ending 22/12/24</t>
  </si>
  <si>
    <t>Week ending 29/12/24</t>
  </si>
  <si>
    <t>Brooke Fenton</t>
  </si>
  <si>
    <t>Difference</t>
  </si>
  <si>
    <t>Total contracts/extensions + Avg length</t>
  </si>
  <si>
    <t>Week ending 5/1/25</t>
  </si>
  <si>
    <t>Week ending 12/1/25</t>
  </si>
  <si>
    <t>Week ending 19/1/25</t>
  </si>
  <si>
    <t>Week ending 26/1/25</t>
  </si>
  <si>
    <t>Week ending 2/2/25</t>
  </si>
  <si>
    <t>Week ending 9/2/25</t>
  </si>
  <si>
    <t>Week ending 16/2/25</t>
  </si>
  <si>
    <t>Week ending 23/2/25</t>
  </si>
  <si>
    <t>Week ending 2/3/25</t>
  </si>
  <si>
    <t>Week ending 9/3/25</t>
  </si>
  <si>
    <t>Week ending 16/3/25</t>
  </si>
  <si>
    <t>Week ending 23/3/25</t>
  </si>
  <si>
    <t>Week ending 30/3/25</t>
  </si>
  <si>
    <t>Timesheets W/end 24/11</t>
  </si>
  <si>
    <t>Timesheets W/end 1/12</t>
  </si>
  <si>
    <t>Timesheets W/end 8/12</t>
  </si>
  <si>
    <t>Timesheets W/end 13/12</t>
  </si>
  <si>
    <t>Timesheets W/end 20/12</t>
  </si>
  <si>
    <t>Timesheets W/end 27/12</t>
  </si>
  <si>
    <t>Katie</t>
  </si>
  <si>
    <t>Peter</t>
  </si>
  <si>
    <t>Elise</t>
  </si>
  <si>
    <t>Rebecca</t>
  </si>
  <si>
    <t>Kiara</t>
  </si>
  <si>
    <t>Andrew</t>
  </si>
  <si>
    <t>Brittany</t>
  </si>
  <si>
    <t>Sammy</t>
  </si>
  <si>
    <t>Jaymee</t>
  </si>
  <si>
    <t>Amanda</t>
  </si>
  <si>
    <t>Zane</t>
  </si>
  <si>
    <t>Crystal</t>
  </si>
  <si>
    <t>Brooke</t>
  </si>
  <si>
    <t>Lisa</t>
  </si>
  <si>
    <t>Emma</t>
  </si>
  <si>
    <t>Timesheets W/end 3/1/25</t>
  </si>
  <si>
    <t>Timesheets 10/1/25</t>
  </si>
  <si>
    <t>Timesheets 17/1/25</t>
  </si>
  <si>
    <t>Timesheets 24/1/25</t>
  </si>
  <si>
    <t>Timesheets 31/1/25</t>
  </si>
  <si>
    <t>YEAR</t>
  </si>
  <si>
    <t>NEW YEAR</t>
  </si>
  <si>
    <t>Sammy, KL</t>
  </si>
  <si>
    <t>Britt, Elise, Crystal, Peter</t>
  </si>
  <si>
    <t>AUS DAY</t>
  </si>
  <si>
    <t>Haylee</t>
  </si>
  <si>
    <t>ANZAC</t>
  </si>
  <si>
    <t>EASTER</t>
  </si>
  <si>
    <t>Elise, KL</t>
  </si>
  <si>
    <t>LABOUR</t>
  </si>
  <si>
    <t>Emma, KL</t>
  </si>
  <si>
    <t>KM, Kiara, Sammy</t>
  </si>
  <si>
    <t>EKKA</t>
  </si>
  <si>
    <t>KL, KM</t>
  </si>
  <si>
    <t>KING BDAY</t>
  </si>
  <si>
    <t>Britt, KL</t>
  </si>
  <si>
    <t>Kiara, Sammy, Becco, Crystal, Elise, Jaymee, AC</t>
  </si>
  <si>
    <t>Timesheets 7/2/25</t>
  </si>
  <si>
    <t>Timesheets 14/2/25</t>
  </si>
  <si>
    <t>Timesheets 21/2/25</t>
  </si>
  <si>
    <t>Timesheets 28/2/25</t>
  </si>
  <si>
    <t>CHRISTMAS</t>
  </si>
  <si>
    <t>KM, Elise, Jayme, Peter, Crystal</t>
  </si>
  <si>
    <t>Timesheets 7/3/25</t>
  </si>
  <si>
    <t>Timesheets 14/3/25</t>
  </si>
  <si>
    <t>Timesheets 21/3/25</t>
  </si>
  <si>
    <t>Timesheets 28/3/25</t>
  </si>
  <si>
    <t>Not Available potential</t>
  </si>
  <si>
    <t>Attempt 1</t>
  </si>
  <si>
    <t>Attempt 2</t>
  </si>
  <si>
    <t>Attempt 3</t>
  </si>
  <si>
    <t>Email</t>
  </si>
  <si>
    <t>ID</t>
  </si>
  <si>
    <t xml:space="preserve">Clinical </t>
  </si>
  <si>
    <t>Demi Smith</t>
  </si>
  <si>
    <t>Email - 2/12/24</t>
  </si>
  <si>
    <t>smithydem922@gmail.com</t>
  </si>
  <si>
    <t>Theatre - Anae/Re</t>
  </si>
  <si>
    <t>Kathleen Murphy</t>
  </si>
  <si>
    <t>Email - 4/12/24</t>
  </si>
  <si>
    <t>murphykathleen4@gmail.com</t>
  </si>
  <si>
    <t>ED</t>
  </si>
  <si>
    <t>Kaye Paradine</t>
  </si>
  <si>
    <t xml:space="preserve">Kaye.paradine41@gmail.com </t>
  </si>
  <si>
    <t>Acute/ED</t>
  </si>
  <si>
    <t>Samanatha McIntosh</t>
  </si>
  <si>
    <t>???</t>
  </si>
  <si>
    <t>samantha.mcintosh78@gmail.com</t>
  </si>
  <si>
    <t>Medical</t>
  </si>
  <si>
    <t>Susan 'Sue' Taylor</t>
  </si>
  <si>
    <t>Avail 1/10/2025</t>
  </si>
  <si>
    <t>raglansue@yahoo.co.uk</t>
  </si>
  <si>
    <t>Sandra Smith</t>
  </si>
  <si>
    <t>Available March 2025</t>
  </si>
  <si>
    <t>sandys1801@gmail.com</t>
  </si>
  <si>
    <t>Acute/ED/Aged Care</t>
  </si>
  <si>
    <t>Carl-Anne Viana</t>
  </si>
  <si>
    <t>carlannegalaceviana@gmail.com</t>
  </si>
  <si>
    <t>ICU</t>
  </si>
  <si>
    <t>Kendal Arney</t>
  </si>
  <si>
    <t>kendal_arney@outlook.co.nz</t>
  </si>
  <si>
    <t>Theatre - PACU</t>
  </si>
  <si>
    <t>Lucy Kauika</t>
  </si>
  <si>
    <t>JLKAUIKA@GMAIL.COM</t>
  </si>
  <si>
    <t>Pamela Mansfield</t>
  </si>
  <si>
    <t xml:space="preserve">pam_mansfield@live.com </t>
  </si>
  <si>
    <t>Theatre - Scrub/Scout/Anae</t>
  </si>
  <si>
    <t>Crysta Watkinson</t>
  </si>
  <si>
    <t>crystajwatkinson@gmail.com</t>
  </si>
  <si>
    <t>Sandra "Sandie" Hill</t>
  </si>
  <si>
    <t>sandieh004@gmail.com</t>
  </si>
  <si>
    <t>Renal Dialysis</t>
  </si>
  <si>
    <t>Emiko Yoshii-Baker</t>
  </si>
  <si>
    <t>emikobaker@gmail.com</t>
  </si>
  <si>
    <t>Bronwyn Rofe</t>
  </si>
  <si>
    <t>Back to Brittany</t>
  </si>
  <si>
    <t>bronrofe@rocketmail.com</t>
  </si>
  <si>
    <t>PHC/ED</t>
  </si>
  <si>
    <t>Catherine Cinjee</t>
  </si>
  <si>
    <t>Email - 3/12/24</t>
  </si>
  <si>
    <t xml:space="preserve">catherinecinjee@gmail.com </t>
  </si>
  <si>
    <t>Med/Surg</t>
  </si>
  <si>
    <t>Holly Loye</t>
  </si>
  <si>
    <t>Back to Elise and contracted</t>
  </si>
  <si>
    <t>hollyloye4@gmail.com</t>
  </si>
  <si>
    <t>Acute/ED/Aged</t>
  </si>
  <si>
    <t xml:space="preserve">Hannah Barnett </t>
  </si>
  <si>
    <t>Unsure of plans maybe late 2025</t>
  </si>
  <si>
    <t>27.hannahbarnett@gmail.com</t>
  </si>
  <si>
    <t>Hannah Templar</t>
  </si>
  <si>
    <t>Email - 16/12/24</t>
  </si>
  <si>
    <t>hannahtemplar99@gmail.com</t>
  </si>
  <si>
    <t>Mental Health</t>
  </si>
  <si>
    <t>Mackenzie Pohatu</t>
  </si>
  <si>
    <t>mackenzie.pohatu@gmail.com</t>
  </si>
  <si>
    <t>Teagan Coyle</t>
  </si>
  <si>
    <t>Email - 7/1/25</t>
  </si>
  <si>
    <t>teagan.coyle@gmail.com</t>
  </si>
  <si>
    <t>April Kane</t>
  </si>
  <si>
    <t>Inactive 7/1/25</t>
  </si>
  <si>
    <t>Nurse got perm role</t>
  </si>
  <si>
    <t>april.alexandra.kane@gmail.com</t>
  </si>
  <si>
    <t>Michelle Scott</t>
  </si>
  <si>
    <t>Visa expired, phone off</t>
  </si>
  <si>
    <t>michelle.scott1187@gmail.com</t>
  </si>
  <si>
    <t>Matthew Clay</t>
  </si>
  <si>
    <t>Wait 2-3 weeks</t>
  </si>
  <si>
    <t xml:space="preserve">Tayla nurse, Perm role </t>
  </si>
  <si>
    <t>matthewclay5@gmail.com</t>
  </si>
  <si>
    <t>Harriet Clarke</t>
  </si>
  <si>
    <t>made herself not available. Called through for a chat to let me know I’ve been great she’s just locked in for a while with other plans and to not worry about her. I said I can reach out in a year, she said don’t even worry</t>
  </si>
  <si>
    <t>@</t>
  </si>
  <si>
    <t>Avril Kelly</t>
  </si>
  <si>
    <t>non-responder, last contract May 2024</t>
  </si>
  <si>
    <t>Dominic Gauthier</t>
  </si>
  <si>
    <t>last contract Feb 2024</t>
  </si>
  <si>
    <t>Charlotte Millard</t>
  </si>
  <si>
    <t>Is keen to stay on the books to know about rates. I don’t think she will do another contract. Last contract Feb 2024</t>
  </si>
  <si>
    <t>Hannah Allan</t>
  </si>
  <si>
    <t>last contract August 2024</t>
  </si>
  <si>
    <t>Mary Haydon</t>
  </si>
  <si>
    <t>last contract Nov 2023</t>
  </si>
  <si>
    <t>Jan Niza</t>
  </si>
  <si>
    <t>last contract/only contract, September 2024</t>
  </si>
  <si>
    <t>Orlaith Murtagh</t>
  </si>
  <si>
    <t xml:space="preserve">Cancelled Wangaratta after 1 day, won’t go anywhere for less than $80. Also wants to do triage. Responds but very tricky. </t>
  </si>
  <si>
    <t>Mikaela Greenslade</t>
  </si>
  <si>
    <t>mgreenslade94@hotmail.com</t>
  </si>
  <si>
    <t>Kaye Paradine ***</t>
  </si>
  <si>
    <t>paradinekaye@hotmail.com</t>
  </si>
  <si>
    <t>Gerrard Andrade</t>
  </si>
  <si>
    <t>Indiah Skow (Zane/Tayla)</t>
  </si>
  <si>
    <t>indiahskowww@gmail.com</t>
  </si>
  <si>
    <t>Kendall Garing</t>
  </si>
  <si>
    <t>22/1/25 Email</t>
  </si>
  <si>
    <t xml:space="preserve">First attempt, call next </t>
  </si>
  <si>
    <t>kendall.g11@live.com</t>
  </si>
  <si>
    <t xml:space="preserve">DSU </t>
  </si>
  <si>
    <t>Mary Virtue</t>
  </si>
  <si>
    <t>mary.virtue.nz@gmail.com</t>
  </si>
  <si>
    <t>Rebecca Harvey</t>
  </si>
  <si>
    <t>Perm Role</t>
  </si>
  <si>
    <t>bec.harvey@bigpond.com</t>
  </si>
  <si>
    <t>Maternity</t>
  </si>
  <si>
    <t>Claire McErlain</t>
  </si>
  <si>
    <t>clairemcerlain@live.co.uk</t>
  </si>
  <si>
    <t>Lauren Hayson</t>
  </si>
  <si>
    <t>laurenhayson@gmail.com</t>
  </si>
  <si>
    <t>Corey Moes</t>
  </si>
  <si>
    <t>COREYMOES@GMAIL.COM</t>
  </si>
  <si>
    <t>Hazel Faulkner</t>
  </si>
  <si>
    <t>hazelfaulkner93@gmail.com</t>
  </si>
  <si>
    <t>Chelsea Lorraway</t>
  </si>
  <si>
    <t>chelsealorraway.17@gmail.com</t>
  </si>
  <si>
    <t>Theatre</t>
  </si>
  <si>
    <t>Robyn Henricks</t>
  </si>
  <si>
    <t>henricksjr@iinet.net.au</t>
  </si>
  <si>
    <t>Theatre - Scrub/Scout</t>
  </si>
  <si>
    <t xml:space="preserve">Tina Ly </t>
  </si>
  <si>
    <t>tina.bply@gmail.com</t>
  </si>
  <si>
    <t>Midwife</t>
  </si>
  <si>
    <t>Mel Speer</t>
  </si>
  <si>
    <t>mjspeer@live.com</t>
  </si>
  <si>
    <t>ED/MPS</t>
  </si>
  <si>
    <t>Alanah Tebble</t>
  </si>
  <si>
    <t>lanah1997@gmail.com</t>
  </si>
  <si>
    <t>Serena Vaillieres</t>
  </si>
  <si>
    <t>serenavallieres@gmail.com</t>
  </si>
  <si>
    <t>Anaes/ICU</t>
  </si>
  <si>
    <t>Hayley Bowell</t>
  </si>
  <si>
    <t>hayleybowell@hotmail.com</t>
  </si>
  <si>
    <t xml:space="preserve">Handover notes </t>
  </si>
  <si>
    <t>Recruitment</t>
  </si>
  <si>
    <t>EOM Goal</t>
  </si>
  <si>
    <t>Name</t>
  </si>
  <si>
    <t xml:space="preserve">Reason </t>
  </si>
  <si>
    <t xml:space="preserve">Contact </t>
  </si>
  <si>
    <t>Notes</t>
  </si>
  <si>
    <t>Consultant</t>
  </si>
  <si>
    <t>Team</t>
  </si>
  <si>
    <t xml:space="preserve">Hansen, Susan Elizabeth </t>
  </si>
  <si>
    <t>Affinity don’t offer jobs I am interested in</t>
  </si>
  <si>
    <t>suzieq0315@gmail.com</t>
  </si>
  <si>
    <t>N/A</t>
  </si>
  <si>
    <t>Ashleigh Jones</t>
  </si>
  <si>
    <t>Gibbons, Olivia Mary</t>
  </si>
  <si>
    <t>I am in a permanent job</t>
  </si>
  <si>
    <t xml:space="preserve">oliviagibbons.94@gmail.com </t>
  </si>
  <si>
    <t>I'm leaving. Bye! </t>
  </si>
  <si>
    <t>Farida Yahia</t>
  </si>
  <si>
    <t>Wells, Alicia (pre-active)</t>
  </si>
  <si>
    <t>alicia.wells1999@live.com.au</t>
  </si>
  <si>
    <t>Bella Qian</t>
  </si>
  <si>
    <t xml:space="preserve">Mitchell Peter John O'Reilly </t>
  </si>
  <si>
    <t>mitch.oreilly@hotmail.com</t>
  </si>
  <si>
    <t>Job board release date</t>
  </si>
  <si>
    <t>Total Jobs</t>
  </si>
  <si>
    <t>Platform Subs per week</t>
  </si>
  <si>
    <t>Date range</t>
  </si>
  <si>
    <t>Avg per day</t>
  </si>
  <si>
    <t>Avg per day per P&amp;R</t>
  </si>
  <si>
    <t>30/12-5/1</t>
  </si>
  <si>
    <t>6/1-12/1</t>
  </si>
  <si>
    <t>13/1-19/1</t>
  </si>
  <si>
    <t>Bairnsdale subs</t>
  </si>
  <si>
    <t>20/1-27/1</t>
  </si>
  <si>
    <t>28/1-3/2</t>
  </si>
  <si>
    <t>(30ieMR roles and 30 T&amp;C roles) 10x Avail roles</t>
  </si>
  <si>
    <t>137 NT (96 RAN roles)</t>
  </si>
  <si>
    <t>4/2-10/2</t>
  </si>
  <si>
    <t>(54 Mildura subs 10/2)</t>
  </si>
  <si>
    <t>11/2-17/2</t>
  </si>
  <si>
    <t>18/2-24/2</t>
  </si>
  <si>
    <t>Tas - 13 NWRH NT - 69 RAN QLD 30 ieMR</t>
  </si>
  <si>
    <t xml:space="preserve">88 roles </t>
  </si>
  <si>
    <t>25/2-3/3</t>
  </si>
  <si>
    <t xml:space="preserve">2025 Feedback </t>
  </si>
  <si>
    <t>EOY ICU Update</t>
  </si>
  <si>
    <t>EOY Theatre Update</t>
  </si>
  <si>
    <t xml:space="preserve">EOY Touch Base </t>
  </si>
  <si>
    <t>EOY thank you</t>
  </si>
  <si>
    <t xml:space="preserve">Hi XX  
I hope you’re well. With the end of 2024 just around the corner, I wanted to reach out and hear all about your year! 
What was your favourite location of 2024? 
Are there any 2024 highlights or memories that stand out? 
What would be your top tick for facilities you would recommend to nurses/midwives new to travel nursing?
Do you have any feedback on my service or anything Affinity related? 
If you don’t get to this email before the holidays, have a wonderful Christmas and New Year! I’m looking forward to working with you again in 2025 😊 
 Warm regards, </t>
  </si>
  <si>
    <t xml:space="preserve">Hi X, 
Thank you for a great year! I wanted to give you an update on the current demand for ICU in the market heading into 2025. We have found that since COVID, there was large intake of transition to ICU permanent staff and ICU recruitment drives. This investment in permanent and upskilling does mean that hospitals are now requiring less FTE through agency and there is a smaller demand in the market.
Quarter 1 is typically the lowest demand quarter of the year as we have the new graduates commencing and less annual leave coverage. As we get closer to winter, we do expect demand to pick up 😊 My advice to ensure you have the best experience travel nursing, have ongoing opportunities, and the best advice for financial stability is to:
Ensure that you have a casual position at your home base hospital. This ensures that you have the flexibility to jump on a plane to a great contract when they come up, and are not faced with any stress while waiting to be the successful candidate.
Consider moving your availability to closer to winter and be open to all states and locations.
Go forward for every opportunity that I recommend, as long as you feel clinically confident in that location. 
Ensure that you are able to fit in your dates and plans into the hospital’s requested dates. Due to the current competition in the market, hospitals are becoming strict with dates and requests. If you can match their needs, this will help your application stand out. 
The above will mean that you have the best out of this lifestyle and ensure that it is a positive and sustainable experience. Affinity will continue to provide market updates through The Huddle, I have attached the most recent update HERE for you to watch.
I hope you have a wonderful holiday period and am excited to continue our working relationship through 2025! 
Warm regards, </t>
  </si>
  <si>
    <t xml:space="preserve">Hi X, 
Thank you for a great year! I wanted to give you an update on the current demand for Theatre in the market heading into 2025. A lot of theatres close or only run for emergencies over the holiday period, looking to be back in the swing of things from the new year, this date ranges alters from facility to facility and demand fluctuates. 
Quarter 1 is typically the lowest demand quarter of the year as we have the new graduates commencing and less annual leave. My advice for theatre demand currently is to:
Keep me up to date on your plans, and if anything changes with your availability. I will flag any and all suitable roles with you, please note rolls fill quickly and speed is key 😊
We recommend keeping your casual position. This ensures that you have the flexibility to jump on a plane when a contract comes up, while providing you with ongoing income while you wait for the dream contract. 
Be open to all states and locations. Some smaller facilities will ask theatre nurses to assist across the ward, having a conversation with me on your clinical comfortability in this space, will ensure I flag the appropriate roles with you.  
With the competition in the market at the moment hospitals are becoming firm on dates and requests. If you can match the facilities exact dates, this will help your application stand out. 
Affinity will continue to provide market updates through The Huddle email, I have attached the most recent update HERE for you to watch.
Warm regards, </t>
  </si>
  <si>
    <t xml:space="preserve">Hi XX, 
I wanted to reach out and say thank you for your time with Affinity through 2024! Cootamundra, Blackwater and Longreach, some great locations ticked off the bucket list with many more to come, I’m sure. 
I would love to hear feedback on your overall experience with Affinity through 2024. If there is something on your mind about the way I operate or anything broader Affinity related. I would love to hear your thoughts on how we can improve or make things easier for nurses/midwives along this journey. 
Kind regards, </t>
  </si>
  <si>
    <t xml:space="preserve">Hi XX 
I hope you’re well and looking forward to contract location  
I wanted to take the opportunity thank you for working over the holiday period, I know the facilities and the patients appreciate your time and assistance. Thank you for all your hard work for Affinity through 2024, you have ticked some amazing locations off the bucket list and I’m sure there will be many more to come. 
I will be heading on annual leave from XX to XX, NAME will be monitoring my emails and will reach out to ensure everything is running smoothly 😊
Warm regards, </t>
  </si>
  <si>
    <t>Hi Everyone, 
As we head into the holiday season, it’s important to reach out to your candidates with updates, to ask them about their year or for overall feedback and a big thank you 😊 This can look different for each and every person in your portfolio. I have provided a few examples (please change and alter), that highlight different ways to communicate without asking “when are you next available” 
	2025 Feedback – Ask them about their year
	Feedback about your service 
	Nurse/Midwife working over XMAS
	Clinical area updates for quarter one – I have left these generic, please personalise to your individual nurse 
Share your email templates for the end of the year with each other, as I’m sure there are some amazing ones out there! 
Please remember to let your nurses/midwives know if you are heading on leave. “I will also take the opportunity to let you know that I will be heading on annual leave from XX to XX, NAME will be monitoring my emails. I hope you have a wonderful holiday break/season/period, I’m excited to continue our working relationship through 2025!”
Warm regards,</t>
  </si>
  <si>
    <t xml:space="preserve">Interesting/fun fact (first job, personal, hobby examples): </t>
  </si>
  <si>
    <t xml:space="preserve">Favourite food, drink or location: </t>
  </si>
  <si>
    <t xml:space="preserve">Embarrassing or funny moment/experience: </t>
  </si>
  <si>
    <t xml:space="preserve">Favorite music, song, film or tv show or first concert you went to: </t>
  </si>
  <si>
    <t xml:space="preserve">Compared with low-trust companies, people at high-trust companies report: </t>
  </si>
  <si>
    <t xml:space="preserve">74% less stress, 106% more energy at work, 50% higher productivity, </t>
  </si>
  <si>
    <t xml:space="preserve">13% fewer sick days, 76% more engagement, 29% more satisfaction with their lives, 40% less burnout </t>
  </si>
  <si>
    <t>Intentionally Build Relationships</t>
  </si>
  <si>
    <t>Take time to learn about each other. Builds a meaningful relationship with people you spend so much time with</t>
  </si>
  <si>
    <t>Praise good work not excessively or it loses its effect.</t>
  </si>
  <si>
    <t>Induce "Challege Stress"</t>
  </si>
  <si>
    <t>Working together to achieve a target. Hard but acheivable goals</t>
  </si>
  <si>
    <t>Discretionary work parameters</t>
  </si>
  <si>
    <t>Trust your employees to get the job done</t>
  </si>
  <si>
    <t>Enable Job Crafting</t>
  </si>
  <si>
    <t>Allow staff to join a project, enable colaboration or quiet learning/insight</t>
  </si>
  <si>
    <t>Share information broadly</t>
  </si>
  <si>
    <t>Facilitate whole person growth</t>
  </si>
  <si>
    <t>Mix focus on personal and professional growth. If everything is just professional you could be upskilling to lose staff</t>
  </si>
  <si>
    <t>Show Vunerability</t>
  </si>
  <si>
    <t xml:space="preserve">Ask for help. Show you need to work as a team to grow and advance. </t>
  </si>
  <si>
    <t xml:space="preserve">One-on-Ones </t>
  </si>
  <si>
    <t xml:space="preserve">Jan </t>
  </si>
  <si>
    <t xml:space="preserve">Feb </t>
  </si>
  <si>
    <t xml:space="preserve">Jaymee </t>
  </si>
  <si>
    <t xml:space="preserve">Elise </t>
  </si>
  <si>
    <t xml:space="preserve">Lisa </t>
  </si>
  <si>
    <t xml:space="preserve">Would like progression (maybe senior) </t>
  </si>
  <si>
    <t xml:space="preserve">Working on her daily tasks, f/ups, accountabiltiy and everything in between. </t>
  </si>
  <si>
    <t>Feeling low didn't want to focus on goals</t>
  </si>
  <si>
    <t xml:space="preserve">Feeling sad/directionless regarding the Senior Title </t>
  </si>
  <si>
    <t>Likes to be assisting recruitment and is looking forward to the merged pod situation</t>
  </si>
  <si>
    <t>Enjoying the mentor role with Brooke and mentioned she felt her own confidence growing with the desk moves</t>
  </si>
  <si>
    <t>Wants to keep learning her nurses</t>
  </si>
  <si>
    <t>Would like more $$$</t>
  </si>
  <si>
    <t xml:space="preserve">Has been enjoying the emerging leaders and coaching sessions with Kolli </t>
  </si>
  <si>
    <t>We spoke about ideas to take everything one day as we go and pick a daily win to buld momentum</t>
  </si>
  <si>
    <t>We discussed not setting a current monthly goal, so she can get out of training, balance herself, rework the spreadsheet and feel in control</t>
  </si>
  <si>
    <t>Not sure on her target and where she wants to be based on "numbers" in her words</t>
  </si>
  <si>
    <t>We spoke of not meeting last months targets and she was dissapointed in herself and we discussed pausing them while we work on Change Champion tasks</t>
  </si>
  <si>
    <t xml:space="preserve">Doesn't feel confident even though she is doing quite well </t>
  </si>
  <si>
    <t xml:space="preserve">Unsure of external factors for the role currently </t>
  </si>
  <si>
    <t xml:space="preserve">Kolli has offered advice and thoughts on books, podcasts and short courses to try. </t>
  </si>
  <si>
    <t>She is feeling low as she is losing nurses, I mentioned this is just a moment. Let's focus on tidying up the background and get everything ready</t>
  </si>
  <si>
    <t>Had a lot of nerves/anxiety about the role currently. Mostly around feeling wrong and that she is waiting for something hard to happen. She spoke on examples of Brooke Davic, Kelsey (Canberra ED nurse), and some additional cancellations that had happen. Mel Sheppard was brought up a few times</t>
  </si>
  <si>
    <t>Gave herself a 2 year plan, but didn't elaborate on this</t>
  </si>
  <si>
    <t xml:space="preserve">I let Elise know if we have a positive roll out and get the new system up and running that is a great project to be a part of and proud of. Trying to shift the mindset from frustration and outburst to being the person that people need for support. </t>
  </si>
  <si>
    <t xml:space="preserve">Asked what she would like to work towards, big goal being more ED nurses and handovers. </t>
  </si>
  <si>
    <t>Feeling sad giving repeated declines to nurses and is spreading them out</t>
  </si>
  <si>
    <t xml:space="preserve">Having thoughts on professional pathway and what might be next? She is not sure and medical things have added to the thoughts too. </t>
  </si>
  <si>
    <t xml:space="preserve">Got passionate/excited - Wants to place nurses, see change, career development, more money or bonus, more structure and outlines for direction. </t>
  </si>
  <si>
    <t xml:space="preserve">Brittany wants to perform well and always give herself a new baseline to then grow and add more to her numbers and skills to herself which she wants to be that resource for the team too. </t>
  </si>
  <si>
    <t>We spoke about the importance of notes and keeping things up to date in Jupiter. Quickly responded with new system is coming and focused on that rather than the current issue</t>
  </si>
  <si>
    <t xml:space="preserve">Once the system is out we need to choose a quick goal/target to get back on track in the patch </t>
  </si>
  <si>
    <t xml:space="preserve">Next month we will address more structured goals as this was just implemented too her with the moves and changes to desks. </t>
  </si>
  <si>
    <t xml:space="preserve">Asked for ideas and tips to speed up subs, f/ups and any conversion options </t>
  </si>
  <si>
    <t xml:space="preserve">We are focusing on month to month goals to build confidence and have a win. </t>
  </si>
  <si>
    <t xml:space="preserve">WA was used as an example "keep telling nurses any day now it's coming" </t>
  </si>
  <si>
    <t xml:space="preserve">She was worried that she could lose interest based on how she is feeling and doesn't want that to happen. I will continue to check in between one on one's so she is feeling ok. </t>
  </si>
  <si>
    <t>Is interested in possibly being a part of bullhorn assistance if required.</t>
  </si>
  <si>
    <t xml:space="preserve">Elise was feeling like she is singled out at times and doesn't know how to share and get this out. Feeling like she is always wrong and seeming a bit lost on what's next. I asked if we keep the focus on the Bullhorn project and make an impact that way and positive distraction also. </t>
  </si>
  <si>
    <t xml:space="preserve">Likes guidelines, markers and goals overall. Once they are in place she will want to achieve and exceed them all. </t>
  </si>
  <si>
    <t>Getting nervous about upcoming leave and ensuring she is prepared</t>
  </si>
  <si>
    <t>Goal for Feb end is - 26+ on contract and 265+ weeks total</t>
  </si>
  <si>
    <t xml:space="preserve">Senior will always be the goal and is having a hard time seeing past that. Or just being, and taking what comes along. She would really like the recognition at a company level to reinforce that she is going well. </t>
  </si>
  <si>
    <t xml:space="preserve">She said she will always be herself so what's the point in trying if I'm not liked for who I am then too bad pretty much. </t>
  </si>
  <si>
    <t xml:space="preserve">Was similar for Jan but she fell only 10 weeks short of this goal and wanted 25 on contract which she hit. </t>
  </si>
  <si>
    <t>Gianne Bawaan</t>
  </si>
  <si>
    <t>DON</t>
  </si>
  <si>
    <t>Amber Walker</t>
  </si>
  <si>
    <t>NUM</t>
  </si>
  <si>
    <t>David Grech</t>
  </si>
  <si>
    <t>NUM/DON</t>
  </si>
  <si>
    <t>Alison Drinkwater</t>
  </si>
  <si>
    <t xml:space="preserve">Anthony Hurst </t>
  </si>
  <si>
    <t xml:space="preserve">DON/Exec Director </t>
  </si>
  <si>
    <t>4/3-10/3</t>
  </si>
  <si>
    <t>Jemma Newman (Seb)</t>
  </si>
  <si>
    <t>11/3-17/3</t>
  </si>
  <si>
    <t>Courtney Jane Bateman</t>
  </si>
  <si>
    <t>courtney.jbateman@gmail.com</t>
  </si>
  <si>
    <t xml:space="preserve">Sammy </t>
  </si>
  <si>
    <t xml:space="preserve">From Emma S: Nothing since 2021, and had been contacted by Sammy in recruitment in 2023 but nothing since then 😊 </t>
  </si>
  <si>
    <t>I am with another agency and I am happy with them</t>
  </si>
  <si>
    <t>Placement</t>
  </si>
  <si>
    <t>Jasmine Wright</t>
  </si>
  <si>
    <t xml:space="preserve">Consultant is extremely rude and condescending. I do not want anything to do with affinity thank you. </t>
  </si>
  <si>
    <t>jasminewright9799@gmail.com</t>
  </si>
  <si>
    <t xml:space="preserve">Recruitment </t>
  </si>
  <si>
    <t>Maz</t>
  </si>
  <si>
    <t>18/3-24/3</t>
  </si>
  <si>
    <t>ON</t>
  </si>
  <si>
    <t>Katherine</t>
  </si>
  <si>
    <t>Olivia Alexandra Hough</t>
  </si>
  <si>
    <t>livvyhough@gmail.com</t>
  </si>
  <si>
    <t xml:space="preserve">Unsubscribe </t>
  </si>
  <si>
    <t>Emmanuel Allison Jr. Tanzuaco</t>
  </si>
  <si>
    <t>emmanueltanzuaco@gmail.com</t>
  </si>
  <si>
    <t>Sebastian</t>
  </si>
  <si>
    <t xml:space="preserve">Medical/surgical who did not provide anything after IC in September. 
No action required, I have made inactive. 
Symone Devenport </t>
  </si>
  <si>
    <t>Timesheets 4/4/25</t>
  </si>
  <si>
    <t>Timesheets 11/4/25</t>
  </si>
  <si>
    <t>Timesheets 18/4/25</t>
  </si>
  <si>
    <t>Timesheets 25/4/25</t>
  </si>
  <si>
    <t>Jaymee*</t>
  </si>
  <si>
    <t>Brittany*</t>
  </si>
  <si>
    <t xml:space="preserve">Emily </t>
  </si>
  <si>
    <t>Dakota</t>
  </si>
  <si>
    <t>Sebastian Sikora/Jemma N</t>
  </si>
  <si>
    <t>49 open in Vesta 25/3</t>
  </si>
  <si>
    <t>25/3-31/3</t>
  </si>
  <si>
    <t xml:space="preserve">Tina Ly- just busted her on a contract at RDH with a competitor agency. I only received an email from her yesterday, saying that local Vic work was way too lucrative to consider travel midwifery. We can’t compete with the alleged casual rates she’s getting and, she’s not loyal or honest. </t>
  </si>
  <si>
    <t xml:space="preserve">Stephanie Bacon- not loyal, uses us as back up and, hasn’t been responsive to contact attempts. </t>
  </si>
  <si>
    <t xml:space="preserve">Charity Awuja- mental health nurse who is only in it for the money- we’ll unlikely ever satisfy. Also calls quite regularly to grill me for 10 minutes at a time. Has broken a contract with us before. </t>
  </si>
  <si>
    <t xml:space="preserve">Anna Taege- a formerly loyal theatre nurse, that the market has forced to go to competitors. Might be salvageable. </t>
  </si>
  <si>
    <t xml:space="preserve">Nichola Ansett- a formerly very loyal ICU nurse- but has become unresponsive. Hopefully salveagable. </t>
  </si>
  <si>
    <t>First attempt</t>
  </si>
  <si>
    <t>Katie - WFH approved</t>
  </si>
  <si>
    <t>Brittany - WFH approved</t>
  </si>
  <si>
    <t>Crystal - WFH approved</t>
  </si>
  <si>
    <r>
      <t>01/04</t>
    </r>
    <r>
      <rPr>
        <sz val="11"/>
        <color theme="1"/>
        <rFont val="Aptos Narrow"/>
        <family val="2"/>
        <scheme val="minor"/>
      </rPr>
      <t> Nickcole Johnstone</t>
    </r>
  </si>
  <si>
    <r>
      <t>06/04</t>
    </r>
    <r>
      <rPr>
        <sz val="11"/>
        <color theme="1"/>
        <rFont val="Aptos Narrow"/>
        <family val="2"/>
        <scheme val="minor"/>
      </rPr>
      <t> Dakota Jones</t>
    </r>
  </si>
  <si>
    <r>
      <t>10/04</t>
    </r>
    <r>
      <rPr>
        <sz val="11"/>
        <color theme="1"/>
        <rFont val="Aptos Narrow"/>
        <family val="2"/>
        <scheme val="minor"/>
      </rPr>
      <t> Lisa Morris</t>
    </r>
  </si>
  <si>
    <r>
      <t>11/04</t>
    </r>
    <r>
      <rPr>
        <sz val="11"/>
        <color theme="1"/>
        <rFont val="Aptos Narrow"/>
        <family val="2"/>
        <scheme val="minor"/>
      </rPr>
      <t> Julie Tait</t>
    </r>
  </si>
  <si>
    <r>
      <t>12/04</t>
    </r>
    <r>
      <rPr>
        <sz val="11"/>
        <color theme="1"/>
        <rFont val="Aptos Narrow"/>
        <family val="2"/>
        <scheme val="minor"/>
      </rPr>
      <t> Sebastian Sikora</t>
    </r>
  </si>
  <si>
    <r>
      <t>17/04</t>
    </r>
    <r>
      <rPr>
        <sz val="11"/>
        <color theme="1"/>
        <rFont val="Aptos Narrow"/>
        <family val="2"/>
        <scheme val="minor"/>
      </rPr>
      <t> Isabelle Moran</t>
    </r>
  </si>
  <si>
    <r>
      <t>27/04</t>
    </r>
    <r>
      <rPr>
        <sz val="11"/>
        <color theme="1"/>
        <rFont val="Aptos Narrow"/>
        <family val="2"/>
        <scheme val="minor"/>
      </rPr>
      <t> Kiara Milsom</t>
    </r>
  </si>
  <si>
    <t>Katie, Sammy, Andrew</t>
  </si>
  <si>
    <t>Tayla Doolan (+Jemma)</t>
  </si>
  <si>
    <t>Kiara,</t>
  </si>
  <si>
    <t>1/4-7/4</t>
  </si>
  <si>
    <t>Week ending 6/4/25</t>
  </si>
  <si>
    <t>Week ending 13/4/25</t>
  </si>
  <si>
    <t>job stability and security - many have returned to permanent roles</t>
  </si>
  <si>
    <t>Nurses want to go to NSW and WA. They want roles and they arent loyal anymore</t>
  </si>
  <si>
    <t>We don’t have the work- there are entire states missing from the job board</t>
  </si>
  <si>
    <t xml:space="preserve">There is so much competition out there. </t>
  </si>
  <si>
    <t>Nurses just want a job- and we’ve eliminated basic and functional choices like NSW</t>
  </si>
  <si>
    <t xml:space="preserve">We don’t pay as much as other providers and, we rort the client. </t>
  </si>
  <si>
    <t xml:space="preserve">Hungry competiors without as much fat, who can undercut us and pay the nurses a parity or better. </t>
  </si>
  <si>
    <t xml:space="preserve">Entire skill sets that are not placeable- i.e. what’s the point of staying in touch with theatre nurses, when the cupboard is bare. </t>
  </si>
  <si>
    <t>Lack of opportunities- not thinking outside the square and pursuing new fields- defence/ mining/ OHS etc. We could be doing so much BD</t>
  </si>
  <si>
    <t>The death by a miilion papercuts approach to dropping rates.</t>
  </si>
  <si>
    <t xml:space="preserve">Too little/too late, too sugar coated, re market updates. </t>
  </si>
  <si>
    <t xml:space="preserve">We are percieved as money grubbers and acting in our interests, not the nurses. </t>
  </si>
  <si>
    <t xml:space="preserve">A million consultants/ inconsistent service. </t>
  </si>
  <si>
    <t>The slow response to job applications (or not hearing about them at all).</t>
  </si>
  <si>
    <t>What retention pain points have you identified from your nurses?</t>
  </si>
  <si>
    <t>also a lot wanting WA</t>
  </si>
  <si>
    <t>better agency rates </t>
  </si>
  <si>
    <t>a decent quantity now in the arms of other agencies- my W.A patch for instance. Providers like HCA are now their new normal given it's been 6 months +</t>
  </si>
  <si>
    <t>Ditto nurses who wanted to work in NSW</t>
  </si>
  <si>
    <t>8/4-14/4</t>
  </si>
  <si>
    <t>Peter, Jemma, Josh, Britt, Andrew, Sammy, Brooke</t>
  </si>
  <si>
    <t>Bryan</t>
  </si>
  <si>
    <t>Jemma Newman +Tayla</t>
  </si>
  <si>
    <t>Lisa Morris + Zane</t>
  </si>
  <si>
    <t>Josh</t>
  </si>
  <si>
    <t>Week ending 20/4/25</t>
  </si>
  <si>
    <t>Week ending 27/4/25</t>
  </si>
  <si>
    <t>ES</t>
  </si>
  <si>
    <t>HB</t>
  </si>
  <si>
    <t>JL</t>
  </si>
  <si>
    <t>15/4-21/4</t>
  </si>
  <si>
    <t>Jemma Newman</t>
  </si>
  <si>
    <t>Easter Out of Office 2025</t>
  </si>
  <si>
    <t>Anzac Day 2025</t>
  </si>
  <si>
    <t>Kiara 16/4/25</t>
  </si>
  <si>
    <t>Previously no response from July. She called through asking who her specialist was and why she didn’t have a role. I let her know I could send her roles and get the job board back, she said she doesn’t want a role any time soon with Affinity…?</t>
  </si>
  <si>
    <t>Celine Frost</t>
  </si>
  <si>
    <t>A fav nurse of mine, finally landed a role at home in NZ. Sad to see her go</t>
  </si>
  <si>
    <t>Flaky at best. No response since August</t>
  </si>
  <si>
    <t>With another agency apparently on $80. Only interested if higher than that. No response since September</t>
  </si>
  <si>
    <t>Blessing Kunyenya</t>
  </si>
  <si>
    <t>Last response June 2024</t>
  </si>
  <si>
    <t>Likes to ‘keep engaged with Affinity re rates’ No contract in over 12 months</t>
  </si>
  <si>
    <t>Cancelled first contract w Affinity after day 1. Only wants $85</t>
  </si>
  <si>
    <t>Only wants TAS prison health. Last reply in December</t>
  </si>
  <si>
    <t>Sharmaine Webley</t>
  </si>
  <si>
    <t>Perm role</t>
  </si>
  <si>
    <t>Maria Walsh</t>
  </si>
  <si>
    <t>1 contract and has now ghosted</t>
  </si>
  <si>
    <t>Claire Dolphin</t>
  </si>
  <si>
    <t>1 contract, now ghosted</t>
  </si>
  <si>
    <t>Rejieli Tokailagi</t>
  </si>
  <si>
    <t>Only wanted very strict dates, I got her a contract and no word from her during or after contract. Last reply September</t>
  </si>
  <si>
    <t>Mikayla Jelfs-Hall</t>
  </si>
  <si>
    <t>No reply from November</t>
  </si>
  <si>
    <t>Lisa 8/4/25</t>
  </si>
  <si>
    <t>Charisse Burgess                                           ED</t>
  </si>
  <si>
    <t>Nova Jane Lampera Laspinas                  ED</t>
  </si>
  <si>
    <t>Elisa Maria Davies                                         ED</t>
  </si>
  <si>
    <t>Samantha Nicole Woods                           ICU</t>
  </si>
  <si>
    <t>Niav Yvette Bacon                                         Maternity</t>
  </si>
  <si>
    <t>Jasmin Kayla Woll                                          Medical/Surgical</t>
  </si>
  <si>
    <t>Sobie Brown Dela Tenebro                         Medical/Surgical</t>
  </si>
  <si>
    <t>Vanessa Maree Gibbs                                  Paediatrics</t>
  </si>
  <si>
    <t>Halamehi Taufalele                                       Surgical</t>
  </si>
  <si>
    <t xml:space="preserve">Sarah </t>
  </si>
  <si>
    <t xml:space="preserve">Sebastian </t>
  </si>
  <si>
    <t xml:space="preserve">Amanda Tang </t>
  </si>
  <si>
    <t>Isabelle Moran</t>
  </si>
  <si>
    <t>Timesheets 2/5/25</t>
  </si>
  <si>
    <t>Timesheets 9/5/25</t>
  </si>
  <si>
    <t>Timesheets 16/5/25</t>
  </si>
  <si>
    <t>Timesheets 23/5/25</t>
  </si>
  <si>
    <t>Timesheets 30/5/25</t>
  </si>
  <si>
    <r>
      <t xml:space="preserve">Thank you for contacting Affinity. Our business hours are Monday to Friday 8:30am to 5:00pm AEST. The office is closed for Anzac Day - </t>
    </r>
    <r>
      <rPr>
        <b/>
        <i/>
        <sz val="12"/>
        <color theme="1"/>
        <rFont val="Aptos"/>
        <family val="2"/>
      </rPr>
      <t>Friday the 25/04/2025 
We are back in on</t>
    </r>
    <r>
      <rPr>
        <sz val="12"/>
        <color theme="1"/>
        <rFont val="Aptos"/>
        <family val="2"/>
      </rPr>
      <t xml:space="preserve"> </t>
    </r>
    <r>
      <rPr>
        <b/>
        <i/>
        <sz val="12"/>
        <color theme="1"/>
        <rFont val="Aptos"/>
        <family val="2"/>
      </rPr>
      <t>Monday the 28/04/2025</t>
    </r>
    <r>
      <rPr>
        <sz val="12"/>
        <color theme="1"/>
        <rFont val="Aptos"/>
        <family val="2"/>
      </rPr>
      <t xml:space="preserve"> 08:30am AEST.  
Your enquiry will be actioned as soon as possible during business hours. If your request is an emergency, please phone our After-Hours service on +61 7 3849 1100.</t>
    </r>
  </si>
  <si>
    <t xml:space="preserve">EOM </t>
  </si>
  <si>
    <t xml:space="preserve">NET </t>
  </si>
  <si>
    <t>TOTAL</t>
  </si>
  <si>
    <t>EOM</t>
  </si>
  <si>
    <t xml:space="preserve">Bridget Foote </t>
  </si>
  <si>
    <t>Elise 24/4/25</t>
  </si>
  <si>
    <t>22/4-28/4</t>
  </si>
  <si>
    <t>CLINICAL AREAS WE ARE ACCEPTING</t>
  </si>
  <si>
    <r>
      <t xml:space="preserve">Registered Nurse </t>
    </r>
    <r>
      <rPr>
        <sz val="12"/>
        <color rgb="FF000000"/>
        <rFont val="Aptos"/>
        <family val="2"/>
      </rPr>
      <t>is 3 years working 1FTE</t>
    </r>
  </si>
  <si>
    <r>
      <t xml:space="preserve">Registered Midwife </t>
    </r>
    <r>
      <rPr>
        <sz val="12"/>
        <color rgb="FF000000"/>
        <rFont val="Aptos"/>
        <family val="2"/>
      </rPr>
      <t xml:space="preserve">is a case-by-case basis, 2 years working 1FTE with birthing experience will be </t>
    </r>
    <r>
      <rPr>
        <b/>
        <sz val="12"/>
        <color rgb="FF000000"/>
        <rFont val="Aptos"/>
        <family val="2"/>
      </rPr>
      <t>accepted</t>
    </r>
  </si>
  <si>
    <r>
      <t>Enrolled Nurse</t>
    </r>
    <r>
      <rPr>
        <sz val="12"/>
        <color rgb="FF000000"/>
        <rFont val="Aptos"/>
        <family val="2"/>
      </rPr>
      <t xml:space="preserve"> is 5 years working 1FTE </t>
    </r>
  </si>
  <si>
    <t xml:space="preserve">Maternity/MGP </t>
  </si>
  <si>
    <t>Emergency Department (resus or triage, only one)</t>
  </si>
  <si>
    <t xml:space="preserve">Acute/ED/Aged Care </t>
  </si>
  <si>
    <t xml:space="preserve">Aged Care </t>
  </si>
  <si>
    <t>RAN</t>
  </si>
  <si>
    <t xml:space="preserve">Mental Health Community – Both inpatient and community mix will be accepted </t>
  </si>
  <si>
    <t>Theatre – All Rounder or Anaesthetics/PACU</t>
  </si>
  <si>
    <t xml:space="preserve">ICU – Vent comp, postgraduate and 5 years experience </t>
  </si>
  <si>
    <t xml:space="preserve">HDU – Ward experience </t>
  </si>
  <si>
    <t xml:space="preserve">Dialysis – Cannulation, CVAD competent, fistula access and ward experience </t>
  </si>
  <si>
    <t xml:space="preserve">Oncology – CVAD Competent, chemotherapy competent and ward experience </t>
  </si>
  <si>
    <t xml:space="preserve">Enrolled Nurse </t>
  </si>
  <si>
    <t xml:space="preserve">Theatre </t>
  </si>
  <si>
    <t>Registered Nurse/Registered Midwife</t>
  </si>
  <si>
    <t xml:space="preserve">CLINICAL AREAS WE ARE DECLINING </t>
  </si>
  <si>
    <t xml:space="preserve">Mental Health Inpatient </t>
  </si>
  <si>
    <t xml:space="preserve">ICU – Non ventilator competent, no postgraduate in critical care and less than 5 years of post-graduate experience </t>
  </si>
  <si>
    <t xml:space="preserve">Theatre – Scrub/Scout only </t>
  </si>
  <si>
    <t xml:space="preserve">Paediatric, SCN, NICU and PICU </t>
  </si>
  <si>
    <t xml:space="preserve">Medical/Surgical RN and EN </t>
  </si>
  <si>
    <t xml:space="preserve">HDU with no ward experience </t>
  </si>
  <si>
    <t xml:space="preserve">Oncology with no ward experience </t>
  </si>
  <si>
    <t xml:space="preserve">Medical Centre, Community </t>
  </si>
  <si>
    <t xml:space="preserve">Hi Tiff, 
Katie is on 2 weeks leave. 
In terms of roles, we are seeing a lot of last minute requests and ASAP starts. 
Roles are not making it to the Job Board, hence this looks light on. 
The agency market has shifted back to a pre-COVID state, facilities are focusing on cost alone to engage and approve agency contracts.
In order for Affinity to remain a top provider and have consistent job opportunities for our candidates, we do need to make adjustments to our package also.  
We always want to ensure that our workforce will have the best opportunities for acceptances, which in turn will provide long term financial security and employment.
Do you have any available firm dates in mind at this stage?
Affinity does not do contracts in NSW currently and the WA tender process is still being finalised so no current available roles their either. 
Look forward to hearing from you. </t>
  </si>
  <si>
    <t xml:space="preserve">Hi Tiff, 
Thank you for updating me with your information.
It’s good to have a casual role given the current agency landscape, to always have a back up plan when not on contract or in between contracts. 
Apologies when I meant packages, I was referring to pay rate adjustments to ensure there is access to ongoing roles with agency nursing. 
If there are any other questions I can help with, please let me know. 
Kaite returns next week. </t>
  </si>
  <si>
    <t>Rebekah Marshall</t>
  </si>
  <si>
    <t>rebekahzaramarshall@icloud.com</t>
  </si>
  <si>
    <t>Sarah H</t>
  </si>
  <si>
    <t xml:space="preserve">Vic </t>
  </si>
  <si>
    <t>AM/PM allowance</t>
  </si>
  <si>
    <t>Per Shift</t>
  </si>
  <si>
    <t>Per hour (8hr shift)</t>
  </si>
  <si>
    <t>Night Shift Allowance (10hr Shift)</t>
  </si>
  <si>
    <t>Regional Allowance</t>
  </si>
  <si>
    <t>Per hour (10hr shift)</t>
  </si>
  <si>
    <t>Per 1FTE 4-Week contract e.g.</t>
  </si>
  <si>
    <t>29/4-5/5</t>
  </si>
  <si>
    <t xml:space="preserve">EN schedule </t>
  </si>
  <si>
    <t>RN Schedule</t>
  </si>
  <si>
    <t>MM4+</t>
  </si>
  <si>
    <t>VH - RN8</t>
  </si>
  <si>
    <t>$68ph am/pm</t>
  </si>
  <si>
    <t>$127.5 Weekend</t>
  </si>
  <si>
    <t>MM2-3</t>
  </si>
  <si>
    <t>mouse-spouse-house!</t>
  </si>
  <si>
    <t>Labor Day 2025</t>
  </si>
  <si>
    <r>
      <t xml:space="preserve">Thank you for contacting Affinity. Our business hours are Monday to Friday 8:30am to 5:00pm AEST. I am currently out of the office for the </t>
    </r>
    <r>
      <rPr>
        <b/>
        <sz val="12"/>
        <color theme="1"/>
        <rFont val="Aptos"/>
        <family val="2"/>
      </rPr>
      <t>QLD Public Holiday</t>
    </r>
    <r>
      <rPr>
        <sz val="12"/>
        <color theme="1"/>
        <rFont val="Aptos"/>
        <family val="2"/>
      </rPr>
      <t xml:space="preserve"> - </t>
    </r>
    <r>
      <rPr>
        <b/>
        <sz val="12"/>
        <color theme="1"/>
        <rFont val="Aptos"/>
        <family val="2"/>
      </rPr>
      <t xml:space="preserve">Monday the 5/05/2025 </t>
    </r>
    <r>
      <rPr>
        <b/>
        <i/>
        <sz val="12"/>
        <color theme="1"/>
        <rFont val="Aptos"/>
        <family val="2"/>
      </rPr>
      <t xml:space="preserve">
</t>
    </r>
    <r>
      <rPr>
        <i/>
        <sz val="12"/>
        <color theme="1"/>
        <rFont val="Aptos"/>
        <family val="2"/>
      </rPr>
      <t>Our office is open, if your matter is urgent please phone the Affinity main line +61 7 3849 1100</t>
    </r>
    <r>
      <rPr>
        <sz val="12"/>
        <color theme="1"/>
        <rFont val="Aptos"/>
        <family val="2"/>
      </rPr>
      <t xml:space="preserve">
Your enquiry will be actioned as soon as possible once I am back online. If your request is an out of hours emergency, please phone our After-Hours service on +61 7 3849 1100.</t>
    </r>
  </si>
  <si>
    <t xml:space="preserve">Initial drafts below for some RAN education email templates. Let me know any thoughts and adjustments. 
Candidates with RAN experience:
Hi XXXXX, 
Thank you for your email. I wanted to take this time to let you know about an exciting new package on offer for our RANs and RAMs! 
Affinity knows that pursuing a career in the RAN field, and maintaining the mandatory qualifications, can be expensive – in light of this, Affinity have created an amazing new package to support your continued development in the RAN space. 
For select eligible remote area clinics, Affinity will provide additional education support towards your RAN certifications so you can focus on high quality care. 
When you complete a 6-week contract at eligible facilities, you will qualify for up to $500 to put towards select courses. 
If you would like additional information, the link to a RAN Package fact sheet can be found here - Affinity RAN Package 2025 Education Assistance – otherwise, let me know if you have any questions! 
We look forward to working on this with you, and providing continued support on your RAN journey 😊 
Candidates transitioning to RAN: 
Hi XXXXX, 
Thank you for your email. I wanted to take this time to let you know about an exciting new package on offer for our qualified candidates who are interesting in transitioning to a rewarding RAN career! 
Affinity knows that pursuing a career in the RAN field is of high interest, and our candidates want to provide high quality care to remote and rural communities throughout Australia. But, this can come at a cost. 
We have created an amazing new package to support qualified candidates as they transition into the RAN space. 
For select eligible remote area clinics, Affinity will provide additional education support towards your RAN certifications so you can focus on high quality care. 
When you complete a 6-week contract at eligible facilities, you will qualify for up to $500 to put towards select courses. 
If you would like additional information on transitioning to a career in remote area nursing, the link to a RAN Package fact sheet can be found here - Affinity RAN Package 2025 – otherwise, let me know if you have any questions or would like to discuss opportunities with our RAN specialist! 
We look forward to working on this with you, and providing continued support on your RAN journey 😊 </t>
  </si>
  <si>
    <t>6/5-12/5</t>
  </si>
  <si>
    <t xml:space="preserve">Just returned from leave - Feeling good and catching up on patch. </t>
  </si>
  <si>
    <t>ED - Med/Surg - Pool nurse</t>
  </si>
  <si>
    <t>Inactive</t>
  </si>
  <si>
    <t xml:space="preserve">Bryan </t>
  </si>
  <si>
    <t>Emily</t>
  </si>
  <si>
    <t xml:space="preserve">One month check in completed. We have scheduled future one on ones. Brian had some worries for himself on how he is progressing and that it is a lot of information to learn. Loves to discuss his kids, which is so nice. Great on the phone but just wants to spend the time bringing the other skills all together. </t>
  </si>
  <si>
    <t xml:space="preserve">Katie is always flagging the market and current conditions. Very quick to flag competitors info and nurses being contracted elsewhere. We discussed this and that we should focus on what we can control, the dates and availability etc. Katie seemed a bit off today, more than usual. She has flagged that she wants to build on her numbers and get her groove back but is struggling to get it all together and feel competitive as she is a bit slower sub wise than others in the team. </t>
  </si>
  <si>
    <t xml:space="preserve">Enjoyed being included on the RAN presention update. Said she is happy to work on these things and add, but is also a bit nervous given that it didn’t get anywhere last time. Flagged her numbers and she is trying and we spoke about different approaches and what she would like to see for herself in the coming month. She went back to talking about her license test a few times and that is was weighing on her that she failed. That is booked in for end of the month so hopefully that changes things. Crystal performs ok, and is always open to hearing direct and honest feedback. </t>
  </si>
  <si>
    <t xml:space="preserve">3 month check in. It felt very forced to get answers and information. Had to push a few times to chase expanded answers. Symone did flag this but was my first real experience in this style of environment. Confidence and knowledge were flagged and we will work on those and see what we can do to expand on those areas by the next one on one which is scheduled. </t>
  </si>
  <si>
    <t>Katie McNamara 12/5/25</t>
  </si>
  <si>
    <t>Talitha Anderson- no response to regular contact attempts</t>
  </si>
  <si>
    <t>Olivia Crome- no response to regular contact attempts</t>
  </si>
  <si>
    <t>Kristy Haselden- gone ghost. Has family circumstances and also, wanting work in NSW</t>
  </si>
  <si>
    <t>Robyn Henricks- no response to regular contact attempts</t>
  </si>
  <si>
    <t>Brydie Hilder- no response to regular contact attempts</t>
  </si>
  <si>
    <t>Jenna Wallace- no response to regular contact attempts</t>
  </si>
  <si>
    <t>Kaitlyn Sladden- no response to regular contact attempts</t>
  </si>
  <si>
    <t>Georgia Hildebrand- no communications for a long time. Did identify that she wasn’t sure of plans</t>
  </si>
  <si>
    <t>Contracts Issued</t>
  </si>
  <si>
    <t>Avg Conversion sub to contract</t>
  </si>
  <si>
    <t>13/5-19/5</t>
  </si>
  <si>
    <t>20/5-26/5</t>
  </si>
  <si>
    <t>Week ending 4/5/25</t>
  </si>
  <si>
    <t>Week ending 11/5/25</t>
  </si>
  <si>
    <t>Week ending 18/5/25</t>
  </si>
  <si>
    <t>Week ending 25/5/25</t>
  </si>
  <si>
    <t xml:space="preserve">Name </t>
  </si>
  <si>
    <t>Nurse Name</t>
  </si>
  <si>
    <t>Date contacted</t>
  </si>
  <si>
    <t>Outcome</t>
  </si>
  <si>
    <t>Anna Taege</t>
  </si>
  <si>
    <t>Brydie Hilder</t>
  </si>
  <si>
    <t>Charisse Burgess</t>
  </si>
  <si>
    <t>Charity Awuja</t>
  </si>
  <si>
    <t>Elisa Maria Davies</t>
  </si>
  <si>
    <t>Georgia Hildebrand</t>
  </si>
  <si>
    <t>Halamehi Taufalele </t>
  </si>
  <si>
    <t xml:space="preserve">Indiah Skow </t>
  </si>
  <si>
    <t>Jasmin Kayla Woll </t>
  </si>
  <si>
    <t>Jenna Wallace</t>
  </si>
  <si>
    <t>Kaitlyn Sladden</t>
  </si>
  <si>
    <t>Kristy Haselden</t>
  </si>
  <si>
    <t>Niav Yvette Bacon </t>
  </si>
  <si>
    <t>Nichola Ansett</t>
  </si>
  <si>
    <t>Nova Jane Lampera Laspinas</t>
  </si>
  <si>
    <t>Olivia Crome</t>
  </si>
  <si>
    <t>Samantha Nicole Woods</t>
  </si>
  <si>
    <t>Sobie Brown Dela Tenebro</t>
  </si>
  <si>
    <t>Stephanie Bacon</t>
  </si>
  <si>
    <t>Talitha Anderson</t>
  </si>
  <si>
    <t>Vanessa Maree Gibbs</t>
  </si>
  <si>
    <t>Timesheets 6/6/25</t>
  </si>
  <si>
    <t>Timesheets 13/6/25</t>
  </si>
  <si>
    <t>Timesheets 20/6/25</t>
  </si>
  <si>
    <t>Timesheets 27/6/25</t>
  </si>
  <si>
    <t>Abbey Gillogly</t>
  </si>
  <si>
    <t xml:space="preserve">Consultant </t>
  </si>
  <si>
    <t>27/5-2/6</t>
  </si>
  <si>
    <t>Recruiter name</t>
  </si>
  <si>
    <t>ED Acute/ED/Aged</t>
  </si>
  <si>
    <t xml:space="preserve">Maternity </t>
  </si>
  <si>
    <t>Specialty</t>
  </si>
  <si>
    <t>In spreadsheet</t>
  </si>
  <si>
    <t>Owen Mitchell Harrap</t>
  </si>
  <si>
    <t>Josh + Haylee + Emma</t>
  </si>
  <si>
    <t>Week ending 1/6/25</t>
  </si>
  <si>
    <t>Week ending 8/6/25</t>
  </si>
  <si>
    <t>Week ending 15/6/25</t>
  </si>
  <si>
    <t>Week ending 22/6/25</t>
  </si>
  <si>
    <t>Week ending 29/6/25</t>
  </si>
  <si>
    <t>3/6-9/6</t>
  </si>
  <si>
    <t>Month</t>
  </si>
  <si>
    <t>June</t>
  </si>
  <si>
    <t>Goals</t>
  </si>
  <si>
    <t>15 subs</t>
  </si>
  <si>
    <t xml:space="preserve">5 contracts </t>
  </si>
  <si>
    <t>Check in Fridays</t>
  </si>
  <si>
    <t>30 subs</t>
  </si>
  <si>
    <t>10 contracts</t>
  </si>
  <si>
    <t>July</t>
  </si>
  <si>
    <t>Lisa 1</t>
  </si>
  <si>
    <t>Kiara 1</t>
  </si>
  <si>
    <t>30 on contract</t>
  </si>
  <si>
    <t>30 weeks net change per week</t>
  </si>
  <si>
    <t xml:space="preserve">70% complete nurses </t>
  </si>
  <si>
    <t xml:space="preserve">Check in thurs/Fri </t>
  </si>
  <si>
    <t xml:space="preserve">6 week training period </t>
  </si>
  <si>
    <t xml:space="preserve">Lisa Morris </t>
  </si>
  <si>
    <t>10/6-16/6</t>
  </si>
  <si>
    <t>10 subs</t>
  </si>
  <si>
    <t>20 subs</t>
  </si>
  <si>
    <t>17/6-23/6</t>
  </si>
  <si>
    <t>24/6-30/6</t>
  </si>
  <si>
    <t>2 contracts</t>
  </si>
  <si>
    <t>August</t>
  </si>
  <si>
    <t>1/7-7/7</t>
  </si>
  <si>
    <t>Week ending 6/7/25</t>
  </si>
  <si>
    <t>Week ending 13/7/25</t>
  </si>
  <si>
    <t>Week ending 20/7/25</t>
  </si>
  <si>
    <t>Week ending 27/7/25</t>
  </si>
  <si>
    <t>Monthly Averages</t>
  </si>
  <si>
    <t>5 contracts</t>
  </si>
  <si>
    <t>15 contracts</t>
  </si>
  <si>
    <t xml:space="preserve">30 subs </t>
  </si>
  <si>
    <t xml:space="preserve">5 contracts  </t>
  </si>
  <si>
    <t xml:space="preserve">Jemma Newman </t>
  </si>
  <si>
    <t>Averages</t>
  </si>
  <si>
    <t>Averages - June</t>
  </si>
  <si>
    <t>Averages - May</t>
  </si>
  <si>
    <t>Averages - April</t>
  </si>
  <si>
    <t>Averages - March</t>
  </si>
  <si>
    <t>Averages - February</t>
  </si>
  <si>
    <t>Averages - January</t>
  </si>
  <si>
    <t>8/7-14/7</t>
  </si>
  <si>
    <t>Dates from</t>
  </si>
  <si>
    <t>Date To</t>
  </si>
  <si>
    <t>Emily H</t>
  </si>
  <si>
    <t>Alemar</t>
  </si>
  <si>
    <t>Sally</t>
  </si>
  <si>
    <t>Sebastian S</t>
  </si>
  <si>
    <t>Tessa</t>
  </si>
  <si>
    <t>Grail</t>
  </si>
  <si>
    <t>Mariel</t>
  </si>
  <si>
    <t xml:space="preserve">Isabelle M </t>
  </si>
  <si>
    <t>Abigail</t>
  </si>
  <si>
    <t>Awhina</t>
  </si>
  <si>
    <t>Nicola</t>
  </si>
  <si>
    <t>Erin</t>
  </si>
  <si>
    <t xml:space="preserve">Amanda T </t>
  </si>
  <si>
    <t>Dianne</t>
  </si>
  <si>
    <t>Kajal</t>
  </si>
  <si>
    <t>Dakota J</t>
  </si>
  <si>
    <t>Helen</t>
  </si>
  <si>
    <t>Total Days</t>
  </si>
  <si>
    <t>Nurse</t>
  </si>
  <si>
    <t>15/7-21/7</t>
  </si>
  <si>
    <t>Location</t>
  </si>
  <si>
    <t>Food Items</t>
  </si>
  <si>
    <t>King Island Cheese, Salami, Kiwi fruit</t>
  </si>
  <si>
    <t>King Island</t>
  </si>
  <si>
    <t>Lisa Searancke</t>
  </si>
  <si>
    <t xml:space="preserve">Potato and smoked cheddar croquettes or hash browns. </t>
  </si>
  <si>
    <t>Ruth</t>
  </si>
  <si>
    <t>Simone D</t>
  </si>
  <si>
    <t>Amy</t>
  </si>
  <si>
    <t>Rikki</t>
  </si>
  <si>
    <t>Bryan R</t>
  </si>
  <si>
    <t>Averil</t>
  </si>
  <si>
    <t>Trudy</t>
  </si>
  <si>
    <t>Maria</t>
  </si>
  <si>
    <t>Mary</t>
  </si>
  <si>
    <t>22/7-28/7</t>
  </si>
  <si>
    <t>Joseph</t>
  </si>
  <si>
    <t>Ellie</t>
  </si>
  <si>
    <t>Henriette</t>
  </si>
  <si>
    <t>Eimear</t>
  </si>
  <si>
    <t>Anita</t>
  </si>
  <si>
    <t>Eva</t>
  </si>
  <si>
    <t>Jazer</t>
  </si>
  <si>
    <t>Tiao</t>
  </si>
  <si>
    <t>Jenna</t>
  </si>
  <si>
    <t>Kathryn</t>
  </si>
  <si>
    <t>Rocelie</t>
  </si>
  <si>
    <t>Edjun</t>
  </si>
  <si>
    <t>Christee</t>
  </si>
  <si>
    <t>Georgia</t>
  </si>
  <si>
    <t>Amanda T</t>
  </si>
  <si>
    <t>Stella</t>
  </si>
  <si>
    <t>Liza</t>
  </si>
  <si>
    <t>Akyi</t>
  </si>
  <si>
    <t>29/7-4/8</t>
  </si>
  <si>
    <t>5/8-11/8</t>
  </si>
  <si>
    <t>Bonnie</t>
  </si>
  <si>
    <t>Isabelle M</t>
  </si>
  <si>
    <t>Michelle</t>
  </si>
  <si>
    <t>Kylie</t>
  </si>
  <si>
    <t>Adam</t>
  </si>
  <si>
    <t>Natasha</t>
  </si>
  <si>
    <t>Sean</t>
  </si>
  <si>
    <t>Muna</t>
  </si>
  <si>
    <t>Changed to 19 total P+R team from 22 (S, A + SA to Clients)</t>
  </si>
  <si>
    <t>Jayden</t>
  </si>
  <si>
    <t>Week ending 3/8/25</t>
  </si>
  <si>
    <t>Stephanie</t>
  </si>
  <si>
    <t>Olivia</t>
  </si>
  <si>
    <t>Christine</t>
  </si>
  <si>
    <t>Elise C</t>
  </si>
  <si>
    <t>Koli</t>
  </si>
  <si>
    <t>12/8-18/8</t>
  </si>
  <si>
    <t>Elizabeth</t>
  </si>
  <si>
    <t>Kisara</t>
  </si>
  <si>
    <t>Sandra</t>
  </si>
  <si>
    <t>CV requested</t>
  </si>
  <si>
    <t>Paeds</t>
  </si>
  <si>
    <t>Kayleigh Byrne</t>
  </si>
  <si>
    <t>Meghan</t>
  </si>
  <si>
    <t>Week ending 10/8/25</t>
  </si>
  <si>
    <t>Week ending 17/8/25</t>
  </si>
  <si>
    <t>Erica</t>
  </si>
  <si>
    <t>Pauline</t>
  </si>
  <si>
    <t>Julie</t>
  </si>
  <si>
    <t>Susan</t>
  </si>
  <si>
    <t>19/8-25/8</t>
  </si>
  <si>
    <t>Thelma</t>
  </si>
  <si>
    <t xml:space="preserve">Russell </t>
  </si>
  <si>
    <t>Clement</t>
  </si>
  <si>
    <t>Aaron</t>
  </si>
  <si>
    <t>July - 38 handovers</t>
  </si>
  <si>
    <t>Maxwell</t>
  </si>
  <si>
    <t>Clinical Areas</t>
  </si>
  <si>
    <t>MH</t>
  </si>
  <si>
    <t>Enrolled nurse</t>
  </si>
  <si>
    <t>Blank</t>
  </si>
  <si>
    <t>As of - 26/8/25</t>
  </si>
  <si>
    <t>Clinical</t>
  </si>
  <si>
    <t>Date</t>
  </si>
  <si>
    <t>Amy Miller</t>
  </si>
  <si>
    <t>CMH</t>
  </si>
  <si>
    <t>Charlotte Aall-Jolet</t>
  </si>
  <si>
    <t>Med/surg</t>
  </si>
  <si>
    <t>Elizabeth Hughes</t>
  </si>
  <si>
    <t>Oncology</t>
  </si>
  <si>
    <t>Eve Koenders</t>
  </si>
  <si>
    <t>Emily Solah</t>
  </si>
  <si>
    <t>Hana Canuel</t>
  </si>
  <si>
    <t>Hannah Hobbs</t>
  </si>
  <si>
    <t>Hannah Speight</t>
  </si>
  <si>
    <t>James Ellis</t>
  </si>
  <si>
    <t>Jell Bellairs</t>
  </si>
  <si>
    <t>midwife</t>
  </si>
  <si>
    <t>Kaona Tiefenbach</t>
  </si>
  <si>
    <t>Katie Fanning</t>
  </si>
  <si>
    <t>Kirsten Godby</t>
  </si>
  <si>
    <t>Laura Conway</t>
  </si>
  <si>
    <t>Laura King</t>
  </si>
  <si>
    <t>Mohammad Warrun</t>
  </si>
  <si>
    <t>Rebecca Humberstone</t>
  </si>
  <si>
    <t>Delayed starter list</t>
  </si>
  <si>
    <t>Simone</t>
  </si>
  <si>
    <t>Seb</t>
  </si>
  <si>
    <t>Izzy</t>
  </si>
  <si>
    <t>26/5-1/9</t>
  </si>
  <si>
    <t>Recognise Excellence</t>
  </si>
  <si>
    <t>How to manage for Trust and team development</t>
  </si>
  <si>
    <t>Keep staff informed and clear honest communication</t>
  </si>
  <si>
    <t xml:space="preserve">Emily H </t>
  </si>
  <si>
    <t>Margaret</t>
  </si>
  <si>
    <t>Brianna</t>
  </si>
  <si>
    <t xml:space="preserve">Ashleigh </t>
  </si>
  <si>
    <t>Damien</t>
  </si>
  <si>
    <t>Namrata</t>
  </si>
  <si>
    <t>Shayne</t>
  </si>
  <si>
    <t>Jensey</t>
  </si>
  <si>
    <t>Cancelled never handed out</t>
  </si>
  <si>
    <t>Deirdre</t>
  </si>
  <si>
    <t>Mark</t>
  </si>
  <si>
    <t>Elizabeth Haskell- Changing accom- Not wanting Caravan (allegedly didn't want caravan) - ongoing</t>
  </si>
  <si>
    <t>Christine Morada - Delaying start date due to work roster at home - sorted/ approved)</t>
  </si>
  <si>
    <t>Shayne Mayo - ? Delaying start Date - Nurse just raised concern</t>
  </si>
  <si>
    <t xml:space="preserve">Employer not approving leave dates. Wanting to push back start date </t>
  </si>
  <si>
    <t>August - 41 Handovers</t>
  </si>
  <si>
    <t>Bernadette Mackenzie</t>
  </si>
  <si>
    <t>September</t>
  </si>
  <si>
    <t>Claudia</t>
  </si>
  <si>
    <t>Amanda - 5</t>
  </si>
  <si>
    <t>Bryan - 5</t>
  </si>
  <si>
    <t>Dakota - 8</t>
  </si>
  <si>
    <t>Emily - 6</t>
  </si>
  <si>
    <t>Elise - 1</t>
  </si>
  <si>
    <t>Isabelle - 9</t>
  </si>
  <si>
    <t>Simone - 3</t>
  </si>
  <si>
    <t>Sebastian - 4</t>
  </si>
  <si>
    <t>Amanda - 4</t>
  </si>
  <si>
    <t>Bryan - 4</t>
  </si>
  <si>
    <t>Isabelle - 4</t>
  </si>
  <si>
    <t>Dakota - 6</t>
  </si>
  <si>
    <t>Emily - 7</t>
  </si>
  <si>
    <t>Sebastian - 8</t>
  </si>
  <si>
    <t>Simone - 5</t>
  </si>
  <si>
    <t>Week ending 24/8/25</t>
  </si>
  <si>
    <t>Week ending 31/8/25</t>
  </si>
  <si>
    <t>Average 2yr+</t>
  </si>
  <si>
    <t>Average up to 2yr</t>
  </si>
  <si>
    <t>Average up to 1yr</t>
  </si>
  <si>
    <t>As of - 2/9/25</t>
  </si>
  <si>
    <t>3 (1 aged, 2 acute)</t>
  </si>
  <si>
    <t>(correct but 2 are EN)</t>
  </si>
  <si>
    <t>3 </t>
  </si>
  <si>
    <t>4 RN - aged care</t>
  </si>
  <si>
    <t xml:space="preserve">September </t>
  </si>
  <si>
    <t>Emily 2/9/25</t>
  </si>
  <si>
    <t xml:space="preserve">Wanting more info on WA CV's and confirmation on what is required or needed to get them set up on shift match </t>
  </si>
  <si>
    <t xml:space="preserve">We discussed last months goals and nurse highlights </t>
  </si>
  <si>
    <t xml:space="preserve">Set 3 goals for herself for the month ahead. 1. Jacklyn Papas (EN) contracted 2. Midwive pair contracted (Maddi+Sophie). Still need references too. 3. Theatre nurse contracted (Tamara) Ideally SA but may be looking in WA as an option too. </t>
  </si>
  <si>
    <t xml:space="preserve">Emily highlighted potential groups within the teams and feeling like an outsider at times. </t>
  </si>
  <si>
    <t xml:space="preserve">Enjoying the WFH as an opportunity to work on things quietly and with minimal distractions from the pod. </t>
  </si>
  <si>
    <t>Bryan 30/8/25</t>
  </si>
  <si>
    <t xml:space="preserve">Really enjoying the role and finds it coming together for him. </t>
  </si>
  <si>
    <t xml:space="preserve">Understands setting his goals and targets, but likes to feel confident in what he is doing. If he lays a good foundation it will all pay off in his words </t>
  </si>
  <si>
    <t xml:space="preserve">Flagged maybe being too heavy on the dad jokes and highlighted something with Sash where he may have upset her. </t>
  </si>
  <si>
    <t xml:space="preserve">Ideal outcome for Sept - 5+ handovers (wants to get to a handover a day in the future) </t>
  </si>
  <si>
    <t>2/9-8/9</t>
  </si>
  <si>
    <t>Priscilla</t>
  </si>
  <si>
    <t>Hi XXXX, Thank you for taking the time to speak with me today and for receiving the feedback shared by the facility. We understand these conversations aren’t always easy, and we appreciate your professionalism. You are welcome to submit any response or feedback in writing, which we will place on file for our records and review. This ensures we have a balanced and documented understanding of all perspectives involved. Please reach out if you have any questions. Warm regards,</t>
  </si>
  <si>
    <t xml:space="preserve">Feedback Email </t>
  </si>
  <si>
    <t>Joanna</t>
  </si>
  <si>
    <t>Karen</t>
  </si>
  <si>
    <t>Ellen</t>
  </si>
  <si>
    <t>Tamara</t>
  </si>
  <si>
    <t>Tammy</t>
  </si>
  <si>
    <t>Minnie</t>
  </si>
  <si>
    <t>Averages - August</t>
  </si>
  <si>
    <t>Averages - july</t>
  </si>
  <si>
    <t xml:space="preserve">Reactivation - </t>
  </si>
  <si>
    <t>Aniruddh Haldar</t>
  </si>
  <si>
    <t>Doney</t>
  </si>
  <si>
    <t>Jaklyn</t>
  </si>
  <si>
    <t>9/9-15/9</t>
  </si>
  <si>
    <t>Barbara</t>
  </si>
  <si>
    <t>Tapiwa</t>
  </si>
  <si>
    <t>Angela</t>
  </si>
  <si>
    <t>Yasmine</t>
  </si>
  <si>
    <t>Miriam</t>
  </si>
  <si>
    <t>Inactive reason</t>
  </si>
  <si>
    <t xml:space="preserve">Theme </t>
  </si>
  <si>
    <t>As of 11/9</t>
  </si>
  <si>
    <t>Placements</t>
  </si>
  <si>
    <t xml:space="preserve">A number have taken perm roles and confirmed inactivation requests. </t>
  </si>
  <si>
    <t>Perm roles, not requiring agency ongoing</t>
  </si>
  <si>
    <t xml:space="preserve">Katie </t>
  </si>
  <si>
    <t xml:space="preserve">Katie has thorough information on her inactives and patch. Quite often they are lost to competitors. Reasons include, role availability to align with needs, rates, locations. If needed she has a list which includes each nurse and status. </t>
  </si>
  <si>
    <t>Lack of comms from nurses, perm roles, alternate agencies</t>
  </si>
  <si>
    <t xml:space="preserve">Crystal </t>
  </si>
  <si>
    <t xml:space="preserve">Limited contact/communication from the nurses. If it is an engaging nurse, Crystal stays in touch regularly </t>
  </si>
  <si>
    <t xml:space="preserve">Nurses dropping off for perm roles, other agencies when alternate locations were being requested (WA, NSW). She is often reluctant to inactivate and thinks she can win the nurses back. </t>
  </si>
  <si>
    <t xml:space="preserve">Perm roles, nurse comms (lack of), alternate locations </t>
  </si>
  <si>
    <t xml:space="preserve">Still working through a number of nurses who have dropped off with communication when inheriting Zane's patch and a number of Amanda R's nurses. Lisa also doesn’t like to formally inactivate until all options have been exhausted. </t>
  </si>
  <si>
    <t>Nurse comms, change of consultants contributing</t>
  </si>
  <si>
    <t xml:space="preserve">Mix between drop off after IC's and lack of contact/comms noting nurses not engaging with herself and also the credentialling teams attempts too. All inactivation requests are submitted with the table, dates and communication attempts. </t>
  </si>
  <si>
    <t xml:space="preserve">Lack of nurse comms, drop off after IC </t>
  </si>
  <si>
    <t xml:space="preserve">Always requests with the inactivation table. Most noted are lack of engagement/comms from the nurse. Bryan tries multiple angles and options before giving up. Often wanting to extend the process. Currently trying a shorter trial run of restricting job board access if not hearing from his nurses after 4 weeks as opposed to 6 weeks </t>
  </si>
  <si>
    <t xml:space="preserve">Lack of nurse comms, drop off after IC, nurses needs not aligning with rural/remote contracts  </t>
  </si>
  <si>
    <t xml:space="preserve">Sends inactivation table for each nurse. Early attempts were not very good, after discussing this through 1:1's and coaching, Dakota has put more work into the attempts and communication to raise engagement levels. Which is resulting in more appropriate inactivations and better success with contract conversion. A level of critical thinking is starting to emerge within the process. </t>
  </si>
  <si>
    <t xml:space="preserve">Lack of nurse comms, Not meeting </t>
  </si>
  <si>
    <t>Anu</t>
  </si>
  <si>
    <t>Greta</t>
  </si>
  <si>
    <t>Team average</t>
  </si>
  <si>
    <t>Week ending 7/9/25</t>
  </si>
  <si>
    <t>16/9-22/9</t>
  </si>
  <si>
    <t>Focus Areas</t>
  </si>
  <si>
    <t>Key Actions</t>
  </si>
  <si>
    <t>Expected Actions</t>
  </si>
  <si>
    <t xml:space="preserve">Measurability </t>
  </si>
  <si>
    <t>Workload Management</t>
  </si>
  <si>
    <t>• Distribute nurses and tasks based on real-time demand.</t>
  </si>
  <si>
    <t>• Use dashboards to visualise workload distribution. 
• Flag capacity gaps early and propose solutions. 
• Balanced workload across team, fewer missed opportunities, better turnaround times.</t>
  </si>
  <si>
    <r>
      <t>Performance Monitoring</t>
    </r>
    <r>
      <rPr>
        <sz val="11"/>
        <color theme="1"/>
        <rFont val="Aptos Narrow"/>
        <family val="2"/>
        <scheme val="minor"/>
      </rPr>
      <t xml:space="preserve"> </t>
    </r>
  </si>
  <si>
    <t>• Track KPIs (placements per person, fill rate, cancellations). 
• Offer support/coaching where metrics are below target</t>
  </si>
  <si>
    <t>• Share weekly summary with team and leadership. 
• Higher overall performance, accountability and proactive issue resolution.</t>
  </si>
  <si>
    <r>
      <t>Clear Expectations &amp; Goal Setting</t>
    </r>
    <r>
      <rPr>
        <sz val="11"/>
        <color theme="1"/>
        <rFont val="Aptos Narrow"/>
        <family val="2"/>
        <scheme val="minor"/>
      </rPr>
      <t xml:space="preserve"> </t>
    </r>
  </si>
  <si>
    <t>• Create role clarity documents for each team member.
• Share weekly focus priorities (email or stand-up).</t>
  </si>
  <si>
    <t>• Link team goals to company strategy. 
• Less confusion, higher accountability, improved engagement.</t>
  </si>
  <si>
    <t>• Weekly “goal vs actual” tracking. 
• Employee pulse (pulse checks are the big thing now right?) survey/checks on clarity/confidence.</t>
  </si>
  <si>
    <t>Mentorship &amp; Development</t>
  </si>
  <si>
    <t>• Schedule 1:1s every 4 weeks (Career/Performance).
• Deliver micro-training sessions (10\ mins) fortnightly.</t>
  </si>
  <si>
    <t>• Assign stretch tasks to grow skills.
• Create check in points that work for the team member
• Increased team capability, engagement and retention.</t>
  </si>
  <si>
    <t>• Record of completed 1:1s. 
• Attendance &amp; feedback scores for trainings. 
• Internal promotions/skill growth tracked quarterly.</t>
  </si>
  <si>
    <t>Team Culture</t>
  </si>
  <si>
    <t>• Create a “wins wall” or bring back the Teams channel to celebrate success.</t>
  </si>
  <si>
    <t>• Encourage person to person recognition. 
• Address negativity immediately and reset tone. 
• Higher morale, sense of purpose, stronger team cohesion.</t>
  </si>
  <si>
    <t>• Culture survey and share results with TL's/SLT every quarter.
• Count of positive recognitions logged monthly. Create a tracker?\</t>
  </si>
  <si>
    <t>Problem Solving &amp; Escalation</t>
  </si>
  <si>
    <t>• Facilitate quick huddles to solve recurring issues. 
• Document root causes and propose solutions to SLT.</t>
  </si>
  <si>
    <t>• Escalate only when impact is high/critical. 
•Faster issue resolution, fewer repeat problems, improved trust from leadership.</t>
  </si>
  <si>
    <t>• Track number of issues solved without escalation. 
• Documented process improvements implemented.</t>
  </si>
  <si>
    <t>Communication &amp; Reporting</t>
  </si>
  <si>
    <t>• Provide a visually engaging monthly report to SLT. 
• Share nurse/client feedback (good &amp; bad) transparently. 
• Maintain clear, timely updates to all stakeholders.</t>
  </si>
  <si>
    <t>• Stronger leadership confidence, reduced surprises, smoother operations.</t>
  </si>
  <si>
    <t>• Monthly report delivered on time. 
• Leadership feedback tracked (positive comments, reduced escalations).</t>
  </si>
  <si>
    <r>
      <t>Client/Nurse Engagement</t>
    </r>
    <r>
      <rPr>
        <sz val="11"/>
        <color theme="1"/>
        <rFont val="Aptos Narrow"/>
        <family val="2"/>
        <scheme val="minor"/>
      </rPr>
      <t xml:space="preserve"> </t>
    </r>
  </si>
  <si>
    <t>• Proactively check in with on contract and engaging nurses weekly. 
• Respond to open/active details within 24 hrs. 
• Up to date communication after any/all contracts</t>
  </si>
  <si>
    <t>• Stronger relationships, repeat business, lower attrition. 
• Minimize re-activation nurses as they are staying active/on contract</t>
  </si>
  <si>
    <t>• Nurse/client retention rate.
• Number of unsolicited positive feedback received.
•Decline in contract drop-offs.</t>
  </si>
  <si>
    <t>Quality Assurance</t>
  </si>
  <si>
    <t>• Audit random 10% of team weekly. 
• Track and address error types (wrong dates, wrong increment). 
• Adjust workflow to remove friction points.</t>
  </si>
  <si>
    <t xml:space="preserve">• Fewer errors, improved reputation, lower compliance risk. </t>
  </si>
  <si>
    <t>• Error rate trend chart (target &lt;XXX%). • Documented corrective actions.</t>
  </si>
  <si>
    <t>Process Improvement</t>
  </si>
  <si>
    <t>• Map out workflows quarterly, find/elimante bottlenecks. 
• Propose and implement at least 1 improvement per quarter.</t>
  </si>
  <si>
    <t xml:space="preserve">• Track impact post-change/im0plementation. 
• Increased efficiency, time savings, cost reduction. </t>
  </si>
  <si>
    <t>• Time saved per process (before/after metrics). 
• Quarterly process improvement log shared with SLT.</t>
  </si>
  <si>
    <t>Strategic Planning</t>
  </si>
  <si>
    <t>• Forecast demand based on historical data.
• Recommend staffing adjustments proactively. 
• Track competitor pricing and share insights.</t>
  </si>
  <si>
    <t>• Better resourcing, improved fill rates, strategic advantage. 
• Forecast accuracy vs actual demand.</t>
  </si>
  <si>
    <t>• Competitor insights circulated quarterly.
• Reduction in “asap” scramble placements.</t>
  </si>
  <si>
    <t>Team Motivation &amp; Recognition</t>
  </si>
  <si>
    <t>• Implement/Bring back a monthly award (peer nominated). 
• Publicly acknowledge achievements in team meetings. 
• Celebrate small wins even during low demand periods.</t>
  </si>
  <si>
    <t>• Increased engagement, lower turnover, improved discretionary effort.</t>
  </si>
  <si>
    <t>• Participation in recognition program. 
• Retention rate tracked quarterly. 
• Engagement survey scores.</t>
  </si>
  <si>
    <t>Business Impact &amp; Visibility</t>
  </si>
  <si>
    <t>• Build a monthly “Placements Impact Snapshot”. 
• Suggest data-driven pilots (pricing, rostering).</t>
  </si>
  <si>
    <t>• Present outcomes in SLT meetings. 
• Position P+R TL's as strategic partners.</t>
  </si>
  <si>
    <t>• SLT acknowledgement of reports. 
• Pilot program ROI measured. 
• Visible adoption of our recommendations.</t>
  </si>
  <si>
    <t>Sana</t>
  </si>
  <si>
    <t>Ella</t>
  </si>
  <si>
    <t xml:space="preserve">Eleanor </t>
  </si>
  <si>
    <t>Total Weeks - 256.29</t>
  </si>
  <si>
    <t>Total weeks - 225.57</t>
  </si>
  <si>
    <t>Petra</t>
  </si>
  <si>
    <t>January Data</t>
  </si>
  <si>
    <t>April Data</t>
  </si>
  <si>
    <t>July Data</t>
  </si>
  <si>
    <t xml:space="preserve">Handovers to Placements </t>
  </si>
  <si>
    <t>Heather</t>
  </si>
  <si>
    <t xml:space="preserve">Isabelle </t>
  </si>
  <si>
    <t xml:space="preserve">Simone </t>
  </si>
  <si>
    <t>Amber</t>
  </si>
  <si>
    <t xml:space="preserve">Miona </t>
  </si>
  <si>
    <t xml:space="preserve">Maz </t>
  </si>
  <si>
    <t xml:space="preserve">Amanda </t>
  </si>
  <si>
    <t xml:space="preserve">Tanisha </t>
  </si>
  <si>
    <t>Team Average</t>
  </si>
  <si>
    <t xml:space="preserve">Team Average </t>
  </si>
  <si>
    <t>February Data</t>
  </si>
  <si>
    <t>May Data</t>
  </si>
  <si>
    <t>August Data</t>
  </si>
  <si>
    <t>Miona</t>
  </si>
  <si>
    <t>Bella</t>
  </si>
  <si>
    <t>Sarah</t>
  </si>
  <si>
    <t>March Data</t>
  </si>
  <si>
    <t>June Data</t>
  </si>
  <si>
    <t>September Data</t>
  </si>
  <si>
    <t>Arvee</t>
  </si>
  <si>
    <t>23/9-29/9</t>
  </si>
  <si>
    <t>Week ending 14/9/25</t>
  </si>
  <si>
    <t>Week ending 21/9/25</t>
  </si>
  <si>
    <t>Week ending 28/9/25</t>
  </si>
  <si>
    <t>Xiaojie</t>
  </si>
  <si>
    <t>Net Change</t>
  </si>
  <si>
    <t xml:space="preserve">Dakota </t>
  </si>
  <si>
    <t>Handovers to Placements</t>
  </si>
  <si>
    <t>January Averages</t>
  </si>
  <si>
    <t>February Averages</t>
  </si>
  <si>
    <t>March Averages</t>
  </si>
  <si>
    <t>April Averages</t>
  </si>
  <si>
    <t>Isabelle</t>
  </si>
  <si>
    <t>Tanisha</t>
  </si>
  <si>
    <t>Team Averages - Jan</t>
  </si>
  <si>
    <t>Team Averages - Feb</t>
  </si>
  <si>
    <t>Team Averages - Mar</t>
  </si>
  <si>
    <t>Team Averages - April</t>
  </si>
  <si>
    <t>May Averages</t>
  </si>
  <si>
    <t>June Averages</t>
  </si>
  <si>
    <t>Team Averages - May</t>
  </si>
  <si>
    <t>Team Averages - June</t>
  </si>
  <si>
    <t>July Averages</t>
  </si>
  <si>
    <t>August Averages</t>
  </si>
  <si>
    <t>Team Averages - July</t>
  </si>
  <si>
    <t>Team Averages - August</t>
  </si>
  <si>
    <t>September Averages</t>
  </si>
  <si>
    <t>Team Averages - Sept</t>
  </si>
  <si>
    <t>Team Member</t>
  </si>
  <si>
    <t>Nurses on Contract</t>
  </si>
  <si>
    <t>Total Weeks Secured</t>
  </si>
  <si>
    <t>Reflection</t>
  </si>
  <si>
    <t xml:space="preserve">Team-wide averages in the same period </t>
  </si>
  <si>
    <t>Context baseline</t>
  </si>
  <si>
    <t>Marisyle</t>
  </si>
  <si>
    <t>Jason</t>
  </si>
  <si>
    <t>Justine</t>
  </si>
  <si>
    <t xml:space="preserve">Margaret </t>
  </si>
  <si>
    <t>Te Rena</t>
  </si>
  <si>
    <t>Julia</t>
  </si>
  <si>
    <t>Nyadak</t>
  </si>
  <si>
    <t>Ijy 'Tara'</t>
  </si>
  <si>
    <t>Itagia "Nia"</t>
  </si>
  <si>
    <t>Dakota - 4</t>
  </si>
  <si>
    <t>Mia</t>
  </si>
  <si>
    <t>Simone - 1</t>
  </si>
  <si>
    <t>Averages - September</t>
  </si>
  <si>
    <t>Monica</t>
  </si>
  <si>
    <t>Amanda - 6</t>
  </si>
  <si>
    <t>Melissa</t>
  </si>
  <si>
    <t>Eilidh</t>
  </si>
  <si>
    <t>Emily - 8</t>
  </si>
  <si>
    <t>Isabelle - 10</t>
  </si>
  <si>
    <t>Shivanjali</t>
  </si>
  <si>
    <t>30/9-6/10</t>
  </si>
  <si>
    <t>September- 39 Handovers</t>
  </si>
  <si>
    <t>Sebastian - 5</t>
  </si>
  <si>
    <t>Total weeks - 221</t>
  </si>
  <si>
    <t>October</t>
  </si>
  <si>
    <t>Chelsea</t>
  </si>
  <si>
    <t>Honeyline</t>
  </si>
  <si>
    <t>Annabelle</t>
  </si>
  <si>
    <t>Deborah</t>
  </si>
  <si>
    <t>Belinda</t>
  </si>
  <si>
    <t>Robyn</t>
  </si>
  <si>
    <t>Grace (Jue)</t>
  </si>
  <si>
    <t>Week ending 5/10/25</t>
  </si>
  <si>
    <t>Week ending 12/10/25</t>
  </si>
  <si>
    <t>Week ending 19/10/25</t>
  </si>
  <si>
    <t>Week ending 26/10/25</t>
  </si>
  <si>
    <t>Tayla</t>
  </si>
  <si>
    <t>Total weeks -</t>
  </si>
  <si>
    <t>7/10-13/10</t>
  </si>
  <si>
    <t>Gabrielle</t>
  </si>
  <si>
    <t>Aged Care</t>
  </si>
  <si>
    <t>Renal</t>
  </si>
  <si>
    <t>Mishelle</t>
  </si>
  <si>
    <t>Isak</t>
  </si>
  <si>
    <t>Emily - 34 weeks</t>
  </si>
  <si>
    <t>Dakota - 37.29 weeks</t>
  </si>
  <si>
    <t>Bryan - 31.43</t>
  </si>
  <si>
    <t>Average - 32.24</t>
  </si>
  <si>
    <t>Dakota - 45.29 weeks</t>
  </si>
  <si>
    <t>Emily - 31.29 weeks</t>
  </si>
  <si>
    <t>Bryan - 26.57 weeks</t>
  </si>
  <si>
    <t>Average - 36.61</t>
  </si>
  <si>
    <t>Average - 31.57</t>
  </si>
  <si>
    <t>Emily - 47 weeks</t>
  </si>
  <si>
    <t>Dakota - 18.43 weeks</t>
  </si>
  <si>
    <t>Bryan - 31 weeks</t>
  </si>
  <si>
    <t>Total weeks</t>
  </si>
  <si>
    <t>Weeks total</t>
  </si>
  <si>
    <t>Hamish</t>
  </si>
  <si>
    <t>Mustapha Aliyu</t>
  </si>
  <si>
    <t>?</t>
  </si>
  <si>
    <t>CV requested again, made inactive until we hear back. Nonresponsive on any attempt. JL</t>
  </si>
  <si>
    <t>Sarah Stanford</t>
  </si>
  <si>
    <t>24.09 SMS</t>
  </si>
  <si>
    <t>CV requested again – Nonresponsive. Made inactive until reply received. JL</t>
  </si>
  <si>
    <t>Nicole Conklin</t>
  </si>
  <si>
    <t>Pratikshya Gurung</t>
  </si>
  <si>
    <t>6/10 </t>
  </si>
  <si>
    <t>Jackline Cherotich</t>
  </si>
  <si>
    <t>06.10 SMS </t>
  </si>
  <si>
    <t>Hung Long Le</t>
  </si>
  <si>
    <t>Ruby</t>
  </si>
  <si>
    <t>Jennifer</t>
  </si>
  <si>
    <t>14/10-20/10</t>
  </si>
  <si>
    <t>Vicky</t>
  </si>
  <si>
    <t>Chyna</t>
  </si>
  <si>
    <t>Boris</t>
  </si>
  <si>
    <t>Rachel</t>
  </si>
  <si>
    <t>Suzie</t>
  </si>
  <si>
    <t>Cecile</t>
  </si>
  <si>
    <t>Monique</t>
  </si>
  <si>
    <t>Corbin</t>
  </si>
  <si>
    <t>21/10-27/10</t>
  </si>
  <si>
    <t>*</t>
  </si>
  <si>
    <t>Serena</t>
  </si>
  <si>
    <t>Laurel</t>
  </si>
  <si>
    <t>Jie Yi</t>
  </si>
  <si>
    <t>Neil</t>
  </si>
  <si>
    <t>November</t>
  </si>
  <si>
    <t>Juliet</t>
  </si>
  <si>
    <t>Jaclyn</t>
  </si>
  <si>
    <t>Grace</t>
  </si>
  <si>
    <t>28/10-3/11</t>
  </si>
  <si>
    <t>Elaina</t>
  </si>
  <si>
    <t>Dakota - 5</t>
  </si>
  <si>
    <t>Bryan - 4 (5)</t>
  </si>
  <si>
    <t>Rosie</t>
  </si>
  <si>
    <t>Jordan</t>
  </si>
  <si>
    <t>Emily - 11</t>
  </si>
  <si>
    <t xml:space="preserve">Average weeks - </t>
  </si>
  <si>
    <t xml:space="preserve">Average handover - </t>
  </si>
  <si>
    <t>Simone - 2 (3?)</t>
  </si>
  <si>
    <t>October - 38 Handovers</t>
  </si>
  <si>
    <t>Isabelle - 6</t>
  </si>
  <si>
    <t>Josh + Emma</t>
  </si>
  <si>
    <t>Simone -</t>
  </si>
  <si>
    <t>As of 3/11/25</t>
  </si>
  <si>
    <t>Blank (+aged)</t>
  </si>
  <si>
    <t>Michael</t>
  </si>
  <si>
    <t>Rose</t>
  </si>
  <si>
    <t>4/11-10/11</t>
  </si>
  <si>
    <t>Lesley</t>
  </si>
  <si>
    <t>Maille</t>
  </si>
  <si>
    <t>Sophie</t>
  </si>
  <si>
    <t>Megan</t>
  </si>
  <si>
    <t>NSW EXP</t>
  </si>
  <si>
    <t>Buddy</t>
  </si>
  <si>
    <t xml:space="preserve">Brittany </t>
  </si>
  <si>
    <t>Seb?</t>
  </si>
  <si>
    <t>Jemma</t>
  </si>
  <si>
    <t>Week ending 2/11/25</t>
  </si>
  <si>
    <t>Week ending 9/11/25</t>
  </si>
  <si>
    <t>Week ending 16/11/25</t>
  </si>
  <si>
    <t>Week ending 23/11/25</t>
  </si>
  <si>
    <t>Jacqueline</t>
  </si>
  <si>
    <t>Zahra</t>
  </si>
  <si>
    <t>11/11-17/11</t>
  </si>
  <si>
    <t>Geraldine</t>
  </si>
  <si>
    <t>Bernadette</t>
  </si>
  <si>
    <t>NSW return from the 10/11</t>
  </si>
  <si>
    <t>Faye</t>
  </si>
  <si>
    <t>Averages - November</t>
  </si>
  <si>
    <t>Averages - October</t>
  </si>
  <si>
    <t>Charlea</t>
  </si>
  <si>
    <t>Shital</t>
  </si>
  <si>
    <t>18/11-24/11</t>
  </si>
  <si>
    <t>Sharon</t>
  </si>
  <si>
    <t>Nicole</t>
  </si>
  <si>
    <t>Rowan</t>
  </si>
  <si>
    <t>Daisy</t>
  </si>
  <si>
    <t>25/11-1/12</t>
  </si>
  <si>
    <t>Ejatu</t>
  </si>
  <si>
    <t>Rasheed</t>
  </si>
  <si>
    <t>Prabha</t>
  </si>
  <si>
    <t>Kenneth</t>
  </si>
  <si>
    <t>November - 25 Handovers</t>
  </si>
  <si>
    <t>Joanne</t>
  </si>
  <si>
    <t>Bryan - 2</t>
  </si>
  <si>
    <t>Dakota - 7</t>
  </si>
  <si>
    <t>Emily - 2</t>
  </si>
  <si>
    <t>Sebastian - 2</t>
  </si>
  <si>
    <t>December
Name</t>
  </si>
  <si>
    <t>December</t>
  </si>
  <si>
    <t>Averages - December</t>
  </si>
  <si>
    <t>Week ending 7/12/25</t>
  </si>
  <si>
    <t>Week ending 14/12/25</t>
  </si>
  <si>
    <t>Week ending 21/12/25</t>
  </si>
  <si>
    <t>Week ending 28/12/25</t>
  </si>
  <si>
    <t>2/12-8/12</t>
  </si>
  <si>
    <t>Hui</t>
  </si>
  <si>
    <t>Taylar</t>
  </si>
  <si>
    <t xml:space="preserve">Alison </t>
  </si>
  <si>
    <t>9/12-15/12</t>
  </si>
  <si>
    <t>Jesy</t>
  </si>
  <si>
    <t>Anjala</t>
  </si>
  <si>
    <t>Wenie</t>
  </si>
  <si>
    <t>Nathan</t>
  </si>
  <si>
    <t>Lay</t>
  </si>
  <si>
    <t>Betty</t>
  </si>
  <si>
    <t>average length</t>
  </si>
  <si>
    <t>average charge per hour</t>
  </si>
  <si>
    <t>average charge per week</t>
  </si>
  <si>
    <t>total contracts</t>
  </si>
  <si>
    <t>total weeks</t>
  </si>
  <si>
    <t>Total weekly $</t>
  </si>
  <si>
    <t>Less expenses</t>
  </si>
  <si>
    <t>wage nurse</t>
  </si>
  <si>
    <t>Insurance</t>
  </si>
  <si>
    <t xml:space="preserve">travel </t>
  </si>
  <si>
    <t>internal team</t>
  </si>
  <si>
    <t>Overheads</t>
  </si>
  <si>
    <t>XXX</t>
  </si>
  <si>
    <t>Paris</t>
  </si>
  <si>
    <t>Ana</t>
  </si>
  <si>
    <t>Aoife</t>
  </si>
  <si>
    <t>16/12-22/12</t>
  </si>
  <si>
    <t>Crestha</t>
  </si>
  <si>
    <t>Niamh</t>
  </si>
  <si>
    <t>Dakota - 9</t>
  </si>
  <si>
    <t>Emily - 5</t>
  </si>
  <si>
    <t>Isabelle - 5</t>
  </si>
  <si>
    <t>Average weeks</t>
  </si>
  <si>
    <t>Average handover -</t>
  </si>
  <si>
    <t>Fay</t>
  </si>
  <si>
    <t>Bonita</t>
  </si>
  <si>
    <t>Suzanne</t>
  </si>
  <si>
    <t>Kelly</t>
  </si>
  <si>
    <t>Port Pirie</t>
  </si>
  <si>
    <t>Bryan - 9</t>
  </si>
  <si>
    <t>23/12-29/12</t>
  </si>
  <si>
    <t>Sydnie</t>
  </si>
  <si>
    <t>Week ending 4/1/26</t>
  </si>
  <si>
    <t>Week ending 11/1/26</t>
  </si>
  <si>
    <t>Week ending 18/1/26</t>
  </si>
  <si>
    <t>Week ending 25/1/26</t>
  </si>
  <si>
    <t>Week ending 1/2/26</t>
  </si>
  <si>
    <t>January</t>
  </si>
  <si>
    <t>December - 30 Handovers</t>
  </si>
  <si>
    <t>New years day 2026</t>
  </si>
  <si>
    <t>Thank you for contacting Affinity. Our business hours are Monday to Friday 8:30am to 5:00pm AEST. The office is closed for New Years Day - Thursday the 1/01/2026 
We are back in on Friday the 2/01/2026 08:30am AEST.  
Your enquiry will be actioned as soon as possible during business hours. If your request is an emergency, please phone our After-Hours service on +61 7 3849 1100.</t>
  </si>
  <si>
    <t>January
Name</t>
  </si>
  <si>
    <t>Ivy</t>
  </si>
  <si>
    <t xml:space="preserve">AS of 2/1/26 </t>
  </si>
  <si>
    <t xml:space="preserve">renal, paeds, aged </t>
  </si>
  <si>
    <t>Jessica</t>
  </si>
  <si>
    <t>Monday</t>
  </si>
  <si>
    <t>Tuesday</t>
  </si>
  <si>
    <t>Wednesday</t>
  </si>
  <si>
    <t>Thurs</t>
  </si>
  <si>
    <t>Fri</t>
  </si>
  <si>
    <t>Kim</t>
  </si>
  <si>
    <t>Patience</t>
  </si>
  <si>
    <t>WFH</t>
  </si>
  <si>
    <t>WFH?</t>
  </si>
  <si>
    <t>WFH???</t>
  </si>
  <si>
    <t>Lesieli</t>
  </si>
  <si>
    <t>Nicci</t>
  </si>
  <si>
    <t>Lordynne</t>
  </si>
  <si>
    <t>Seema</t>
  </si>
  <si>
    <t>Dean</t>
  </si>
  <si>
    <t>Fatima</t>
  </si>
  <si>
    <t>Hannah</t>
  </si>
  <si>
    <t>Rebecca Morgan*</t>
  </si>
  <si>
    <t>Brittany Loveday*</t>
  </si>
  <si>
    <t>Andrew Cheli*</t>
  </si>
  <si>
    <t>Catherine</t>
  </si>
  <si>
    <t>Team member</t>
  </si>
  <si>
    <t>Issues raised</t>
  </si>
  <si>
    <t>Follow up items</t>
  </si>
  <si>
    <t>Additional notes</t>
  </si>
  <si>
    <t>Sonya</t>
  </si>
  <si>
    <t>Date booked</t>
  </si>
  <si>
    <t>Tracey</t>
  </si>
  <si>
    <t>Sub-acute Rehab</t>
  </si>
  <si>
    <t>Med - Oncology</t>
  </si>
  <si>
    <t>HDU</t>
  </si>
  <si>
    <t>Surg/Paeds</t>
  </si>
  <si>
    <t>med/surg</t>
  </si>
  <si>
    <t>Include 12 month catch up*</t>
  </si>
  <si>
    <t>Net change</t>
  </si>
  <si>
    <t xml:space="preserve">Team member </t>
  </si>
  <si>
    <t>Goals/ideas</t>
  </si>
  <si>
    <t xml:space="preserve">Achieve by </t>
  </si>
  <si>
    <t>The first thing i think is missing is out of work catch ups/ hangs. We use to do it quite frequently, now not so much/ at all, unless individuals organise it between themselves (i.e Driving range)
Even if its a pizza lunch upstairs or morning coffee.
Doesn't need to be funded by Affinity/ Helen</t>
  </si>
  <si>
    <t>Britt</t>
  </si>
  <si>
    <t xml:space="preserve">Emma </t>
  </si>
  <si>
    <t xml:space="preserve">Izzy </t>
  </si>
  <si>
    <t xml:space="preserve">Priority goals for me would be getting across the patch, and figuring out what scheduling works best for me to get the most out of my day and actually do my role 
For the team - I think figuring out the best way for more collaboration in the team - solidifying the new structure so the team feel confident and comfortable to go to the seniors more 
 </t>
  </si>
  <si>
    <t xml:space="preserve">Brooke </t>
  </si>
  <si>
    <t xml:space="preserve">The one area I could see beneficial is improving communication around realistic plans/opportunities. Some of the team often come to me for how to best approach a nurse who does not have the best skills match and/or specific plans that may not be achievable or likely (who have gotten submission ready believing that it is). As we approach the new grad season we will need to emphasise the importance of remaining flexible in our initial chat and communications to ensure we are correctly prioritising our candidates. I think having the confidence to say 'what is your plan B' or 'what are your non-negociables' would be a great focus for Q1 </t>
  </si>
  <si>
    <t xml:space="preserve">Could we do some sort of regular workshop where we identify pain points, where the team needs more training/support and discuss improvement ideas? 
 </t>
  </si>
  <si>
    <t>Asked</t>
  </si>
  <si>
    <t>Isabel</t>
  </si>
  <si>
    <t>I will think about it and let you know!</t>
  </si>
  <si>
    <t>How big do these goals need to be, I was thinkg one goal we should have is around extensions and securing roster lines</t>
  </si>
  <si>
    <t xml:space="preserve">Having black and white answers for specific questions - Rather than getting different answers from different people
I would like to see the upper management making decisions about things like pay increments (experience from Philippines counts or not?) and give us yes or no answers so we know what to do
</t>
  </si>
  <si>
    <t xml:space="preserve">I'd like to see a glassboard/whiteboard with team goals on them. "We reached this many contracts for the month!" etc. I think there needs to be lots of 'casting the vision.' Why we do what we do. Why it matters. etc. Super important. Coz people forget. If we do need to improve in some areas to have it delivered in a softness sandwich (You rock! You suck! You rock!). Just to improve morale. The job can seem impossibly difficult some days. We all know we need to keep getting contracts for the company to flourish. Sometimes our own expectations can be frustrating enough. I think this is where 'the grumps' creep in. So lots of encouragement to combat that is essential. You do this really well. </t>
  </si>
  <si>
    <t xml:space="preserve">Number 1 would be communication is largely lacking. We dont speak or share, in any capacity, about how we are going and what we have learnt. </t>
  </si>
  <si>
    <t>oh man don't get me wrong but this is literally the last thing on my mind right now if I think of something I'll let you know. I'm falling a bit behind on the new apps but other than that I'm fine finally there are some contracts happening</t>
  </si>
  <si>
    <t xml:space="preserve">numbers: we could all work towards having a collective target of weeks on contracts each month (based on historical data/market average) that is realistic, the target can change each month based on clinical areas of nurses, what roles the clients are sending to us etc etc
process: bring back the recruitment handover list instead of the "who wants this" situation - no choice is better than missing out or taking one that is less than ideal.
morale: seating for outside infront of the office so we have warm place to eat lunch and/or start ordering lactose free milk for the office </t>
  </si>
  <si>
    <t>• Average placement response/reaction time tracked weekly. 
• % of unfilled subs/contracts lost reduced month-on-month. 
• Dashboard snapshot shared with SLT.</t>
  </si>
  <si>
    <t>• Monthly KPI report (Emma's summary). 
• Documented interventions with outcome notes. 1:1 sessions
• Visible improvement trends in metrics.</t>
  </si>
  <si>
    <t xml:space="preserve">To follow up on your earlier question about goals, I’ve been giving it some thought. To be honest, I’m still figuring out what my personal goals look like.  
I think my main goal is to stay consistent -  keeping my numbers up (the best I can ) while continuing to build relationships with my nurses. Great customer service has always been a high priority for me. I want to keep improving my nurse relationships, now my patch is growing. 
From a business and team perspective, I’d really love to see more team spirit in the office. Which I know is no surprise to you!  I think it would make a big difference if we celebrated our wins more often.
I know our job is ultimately about getting contracts, but when we’ve had a good week, it would be great to acknowledge it and celebrate it together. I think that kind of positivity would really lift the atmosphere and the overall vibe in the office  
Kiara’s manifestation board was such a great example of something small that created excitement. It sparked conversations, brought attention to nurses who were looking, and added a bit of fun and team energy!!! 
 I’d love to see more things like that — little moments that bring us together and keep the momentum going and make us laugh 
 </t>
  </si>
  <si>
    <t>February</t>
  </si>
  <si>
    <t>Week ending 8/2/26</t>
  </si>
  <si>
    <t>Week ending 15/2/26</t>
  </si>
  <si>
    <t>Week ending 22/2/26</t>
  </si>
  <si>
    <t>Week ending 1/3/26</t>
  </si>
  <si>
    <t>· Reference changes is possible
· CV updates 
· Patch clarification including clinical areas
· Visa information to Michelle</t>
  </si>
  <si>
    <r>
      <rPr>
        <sz val="11"/>
        <color theme="1"/>
        <rFont val="Symbol"/>
        <family val="1"/>
        <charset val="2"/>
      </rPr>
      <t xml:space="preserve">· </t>
    </r>
    <r>
      <rPr>
        <sz val="11"/>
        <color theme="1"/>
        <rFont val="Aptos Narrow"/>
        <family val="2"/>
        <scheme val="minor"/>
      </rPr>
      <t xml:space="preserve">Feeling swamped with handovers 4 to still action
</t>
    </r>
    <r>
      <rPr>
        <b/>
        <sz val="11"/>
        <color theme="1"/>
        <rFont val="Aptos Narrow"/>
        <family val="2"/>
        <scheme val="minor"/>
      </rPr>
      <t>·</t>
    </r>
    <r>
      <rPr>
        <sz val="11"/>
        <color theme="1"/>
        <rFont val="Aptos Narrow"/>
        <family val="2"/>
        <scheme val="minor"/>
      </rPr>
      <t xml:space="preserve"> We talked about blockers and how we can simplify? 
· Wants faster JP options
· Comfortable to cut corners if needed, feels confident
· Patch currently at 98 with duplicates 
· Talks to Liz a lot to work on nurses and make bigger impact
· Raised reference issues, always selecting yes as unacceptable punctuality </t>
    </r>
  </si>
  <si>
    <t>Looking into 482 or 186 Visa</t>
  </si>
  <si>
    <t xml:space="preserve">Seb </t>
  </si>
  <si>
    <t>Rebekah</t>
  </si>
  <si>
    <t xml:space="preserve">Noel </t>
  </si>
  <si>
    <t>Calum</t>
  </si>
  <si>
    <t>Charlotte</t>
  </si>
  <si>
    <t>Samantha</t>
  </si>
  <si>
    <t>Anthony</t>
  </si>
  <si>
    <t>Mary Grace</t>
  </si>
  <si>
    <t>surgical</t>
  </si>
  <si>
    <t>Emily - 3</t>
  </si>
  <si>
    <t>Sonya - 1</t>
  </si>
  <si>
    <t>Average Handover</t>
  </si>
  <si>
    <t>ICU/HDU</t>
  </si>
  <si>
    <t>February
Name</t>
  </si>
  <si>
    <t>med/oncology</t>
  </si>
  <si>
    <t>Kaye</t>
  </si>
  <si>
    <t>Madison</t>
  </si>
  <si>
    <t>Riley</t>
  </si>
  <si>
    <t>Bridget</t>
  </si>
  <si>
    <t>Jasmine</t>
  </si>
  <si>
    <t>Week ending 8/3/26</t>
  </si>
  <si>
    <t>Week ending 15/3/26</t>
  </si>
  <si>
    <t>Total contracts &amp; extensions + Avg length</t>
  </si>
  <si>
    <t>Week ending 22/3/26</t>
  </si>
  <si>
    <t>Week ending 29/3/26</t>
  </si>
  <si>
    <t>Week ending 5/4/26</t>
  </si>
  <si>
    <t>Dominique</t>
  </si>
  <si>
    <t>Sandy</t>
  </si>
  <si>
    <t>Jarmila</t>
  </si>
  <si>
    <t>Shelby</t>
  </si>
  <si>
    <t>MGP</t>
  </si>
  <si>
    <t>Ext</t>
  </si>
  <si>
    <t>New</t>
  </si>
  <si>
    <t>Caleb</t>
  </si>
  <si>
    <t>Gizelle</t>
  </si>
  <si>
    <t>Cardiology</t>
  </si>
  <si>
    <t>Lauren</t>
  </si>
  <si>
    <t>Rehab</t>
  </si>
  <si>
    <t>Isobella</t>
  </si>
  <si>
    <t>Isabelle - 8</t>
  </si>
  <si>
    <t>January - 25 Handovers</t>
  </si>
  <si>
    <t>Geoffrey</t>
  </si>
  <si>
    <t>Kate</t>
  </si>
  <si>
    <t>Holly</t>
  </si>
  <si>
    <t>Josephine</t>
  </si>
  <si>
    <t>Rochelle</t>
  </si>
  <si>
    <t>Kerri</t>
  </si>
  <si>
    <t>Melanie</t>
  </si>
  <si>
    <t>Acute</t>
  </si>
  <si>
    <t>Fiona</t>
  </si>
  <si>
    <t>ED/HDU</t>
  </si>
  <si>
    <t>Lee</t>
  </si>
  <si>
    <t>Debra</t>
  </si>
  <si>
    <t>Daniel</t>
  </si>
  <si>
    <t>Jade</t>
  </si>
  <si>
    <t>Bryan - 11</t>
  </si>
  <si>
    <t>Sonya - 3</t>
  </si>
  <si>
    <t xml:space="preserve">February - 40 Handovers </t>
  </si>
  <si>
    <t>Isabelle - 16</t>
  </si>
  <si>
    <t>Bronie</t>
  </si>
  <si>
    <t>Yujie</t>
  </si>
  <si>
    <t>Renee</t>
  </si>
  <si>
    <t>Hayley</t>
  </si>
  <si>
    <t>Annette</t>
  </si>
  <si>
    <t>Karina</t>
  </si>
  <si>
    <t>Tyler</t>
  </si>
  <si>
    <t>Dionisios</t>
  </si>
  <si>
    <t xml:space="preserve">Medical </t>
  </si>
  <si>
    <t>March</t>
  </si>
  <si>
    <t>Pool</t>
  </si>
  <si>
    <t>Sinead</t>
  </si>
  <si>
    <t>Eithne</t>
  </si>
  <si>
    <t>Caroline</t>
  </si>
  <si>
    <t>Morgan</t>
  </si>
  <si>
    <t>Acute/Ed/Aged</t>
  </si>
  <si>
    <t>James</t>
  </si>
  <si>
    <t>Sebastian - 3</t>
  </si>
  <si>
    <t>Sonya - 7</t>
  </si>
  <si>
    <t xml:space="preserve">March - 24 Handovers </t>
  </si>
  <si>
    <t>Molly</t>
  </si>
  <si>
    <t>Bryan - 3</t>
  </si>
  <si>
    <r>
      <t xml:space="preserve">Thank you for contacting Affinity. Our business hours are Monday to Friday 8:30am to 5:00pm AEST. The office is closed for the Easter Weekend - </t>
    </r>
    <r>
      <rPr>
        <b/>
        <i/>
        <sz val="12"/>
        <color theme="1"/>
        <rFont val="Aptos"/>
        <family val="2"/>
      </rPr>
      <t>Friday the 03/04/2026</t>
    </r>
    <r>
      <rPr>
        <sz val="12"/>
        <color theme="1"/>
        <rFont val="Aptos"/>
        <family val="2"/>
      </rPr>
      <t xml:space="preserve"> until </t>
    </r>
    <r>
      <rPr>
        <b/>
        <i/>
        <sz val="12"/>
        <color theme="1"/>
        <rFont val="Aptos"/>
        <family val="2"/>
      </rPr>
      <t>Tuesday the 07/04/2026</t>
    </r>
    <r>
      <rPr>
        <sz val="12"/>
        <color theme="1"/>
        <rFont val="Aptos"/>
        <family val="2"/>
      </rPr>
      <t xml:space="preserve"> 08:30am AEST.  
Your enquiry will be actioned as soon as possible during business hours. If your request is an emergency, please phone our After-Hours service on +61 7 3849 1100.</t>
    </r>
  </si>
  <si>
    <t>Louise</t>
  </si>
  <si>
    <t>Eryn</t>
  </si>
  <si>
    <t>Tarni</t>
  </si>
  <si>
    <t>Week ending 12/4/26</t>
  </si>
  <si>
    <t>Week ending 19/4/26</t>
  </si>
  <si>
    <t>Week ending 26/4/26</t>
  </si>
  <si>
    <t>Week ending 3/5/26</t>
  </si>
  <si>
    <t>April</t>
  </si>
  <si>
    <t>Harriett</t>
  </si>
  <si>
    <t>Berlyn</t>
  </si>
  <si>
    <t>Yasmin</t>
  </si>
  <si>
    <t>Anissa</t>
  </si>
  <si>
    <t>Casey</t>
  </si>
  <si>
    <t>Kuk</t>
  </si>
  <si>
    <t>Paula</t>
  </si>
  <si>
    <t>medical</t>
  </si>
  <si>
    <t>Kristine</t>
  </si>
  <si>
    <t>Clare</t>
  </si>
  <si>
    <t>Tanika</t>
  </si>
  <si>
    <t>Raymond</t>
  </si>
  <si>
    <t>Neve</t>
  </si>
  <si>
    <t>April - 
Name</t>
  </si>
  <si>
    <t>Holley</t>
  </si>
  <si>
    <t>Courtney</t>
  </si>
  <si>
    <t>Kyna</t>
  </si>
  <si>
    <t>Haylee Baier</t>
  </si>
  <si>
    <t>PACU</t>
  </si>
  <si>
    <t>Virginia</t>
  </si>
  <si>
    <t>Surgical</t>
  </si>
  <si>
    <t>Shanlee</t>
  </si>
  <si>
    <t>Aged care</t>
  </si>
  <si>
    <t>Tegan</t>
  </si>
  <si>
    <t>Bryan - 10</t>
  </si>
  <si>
    <t>May - 
Name</t>
  </si>
  <si>
    <t xml:space="preserve">May - Handovers </t>
  </si>
  <si>
    <t>Bryan -</t>
  </si>
  <si>
    <t xml:space="preserve">Dakota - </t>
  </si>
  <si>
    <t>Isabelle -</t>
  </si>
  <si>
    <t xml:space="preserve">Sebastian - </t>
  </si>
  <si>
    <t xml:space="preserve">Sonya - </t>
  </si>
  <si>
    <t xml:space="preserve">April - 32 Handovers </t>
  </si>
  <si>
    <t>Jordane</t>
  </si>
  <si>
    <t>Week ending 10/5/26</t>
  </si>
  <si>
    <t>Week ending 17/5/26</t>
  </si>
  <si>
    <t>Week ending 24/5/26</t>
  </si>
  <si>
    <t>Week ending 31/5/26</t>
  </si>
  <si>
    <t>May</t>
  </si>
  <si>
    <t>Mithu</t>
  </si>
  <si>
    <t>Zahnayda</t>
  </si>
  <si>
    <t>Faith</t>
  </si>
  <si>
    <t>Average</t>
  </si>
  <si>
    <t>Emily-G</t>
  </si>
  <si>
    <t>Glory</t>
  </si>
  <si>
    <t>Marissa</t>
  </si>
  <si>
    <t>Izzy/Seb</t>
  </si>
  <si>
    <t>McKenzie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</si>
</sst>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0.000"/>
    <numFmt numFmtId="165" formatCode="&quot;$&quot;#,##0.00"/>
    <numFmt numFmtId="166" formatCode="0.0"/>
  </numFmts>
  <fonts count="42" x14ac:knownFonts="1">
    <font>
      <sz val="11"/>
      <color theme="1"/>
      <name val="Aptos Narrow"/>
      <family val="2"/>
      <scheme val="minor"/>
    </font>
    <font>
      <b/>
      <sz val="14"/>
      <color theme="1"/>
      <name val="Aptos Narrow"/>
      <family val="2"/>
      <scheme val="minor"/>
    </font>
    <font>
      <sz val="14"/>
      <color theme="1"/>
      <name val="Aptos Narrow"/>
      <family val="2"/>
      <scheme val="minor"/>
    </font>
    <font>
      <sz val="11"/>
      <color theme="1"/>
      <name val="Aptos Narrow"/>
      <family val="2"/>
      <scheme val="minor"/>
    </font>
    <font>
      <b/>
      <sz val="11"/>
      <color theme="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sz val="12"/>
      <color theme="1"/>
      <name val="Aptos"/>
      <family val="2"/>
    </font>
    <font>
      <sz val="11"/>
      <color theme="1"/>
      <name val="Segoe UI"/>
      <family val="2"/>
    </font>
    <font>
      <sz val="10"/>
      <color theme="1"/>
      <name val="Aptos Narrow"/>
      <family val="2"/>
      <scheme val="minor"/>
    </font>
    <font>
      <b/>
      <sz val="12"/>
      <color theme="1"/>
      <name val="Aptos Narrow"/>
      <family val="2"/>
      <scheme val="minor"/>
    </font>
    <font>
      <sz val="12"/>
      <color rgb="FF212121"/>
      <name val="Aptos"/>
      <family val="2"/>
    </font>
    <font>
      <sz val="10"/>
      <color theme="1"/>
      <name val="Times New Roman"/>
      <family val="1"/>
    </font>
    <font>
      <b/>
      <sz val="12"/>
      <color rgb="FF000000"/>
      <name val="Aptos"/>
      <family val="2"/>
    </font>
    <font>
      <b/>
      <sz val="12"/>
      <color rgb="FF0070C0"/>
      <name val="Aptos"/>
      <family val="2"/>
    </font>
    <font>
      <b/>
      <sz val="11"/>
      <color rgb="FF000000"/>
      <name val="Calibri"/>
      <family val="2"/>
    </font>
    <font>
      <sz val="11"/>
      <color theme="1"/>
      <name val="Calibri"/>
      <family val="2"/>
    </font>
    <font>
      <sz val="11"/>
      <color theme="1"/>
      <name val="Aptos"/>
      <family val="2"/>
    </font>
    <font>
      <sz val="11"/>
      <color rgb="FF37797B"/>
      <name val="Aptos Narrow"/>
      <family val="2"/>
      <scheme val="minor"/>
    </font>
    <font>
      <b/>
      <sz val="12"/>
      <color theme="1"/>
      <name val="Aptos"/>
      <family val="2"/>
    </font>
    <font>
      <b/>
      <i/>
      <sz val="12"/>
      <color theme="1"/>
      <name val="Aptos"/>
      <family val="2"/>
    </font>
    <font>
      <b/>
      <sz val="12"/>
      <color rgb="FF00B050"/>
      <name val="Aptos"/>
      <family val="2"/>
    </font>
    <font>
      <sz val="12"/>
      <color rgb="FF000000"/>
      <name val="Aptos"/>
      <family val="2"/>
    </font>
    <font>
      <b/>
      <sz val="12"/>
      <color rgb="FFFF0000"/>
      <name val="Aptos"/>
      <family val="2"/>
    </font>
    <font>
      <i/>
      <sz val="12"/>
      <color theme="1"/>
      <name val="Aptos"/>
      <family val="2"/>
    </font>
    <font>
      <sz val="10"/>
      <color rgb="FF181818"/>
      <name val="Segoe UI"/>
      <family val="2"/>
    </font>
    <font>
      <sz val="11"/>
      <color rgb="FF181818"/>
      <name val="Segoe UI"/>
      <family val="2"/>
    </font>
    <font>
      <b/>
      <sz val="11"/>
      <color rgb="FF000000"/>
      <name val="Aptos Narrow"/>
      <family val="2"/>
      <scheme val="minor"/>
    </font>
    <font>
      <sz val="11"/>
      <color rgb="FF000000"/>
      <name val="Aptos Narrow"/>
      <family val="2"/>
      <scheme val="minor"/>
    </font>
    <font>
      <b/>
      <sz val="11"/>
      <color rgb="FF00B050"/>
      <name val="Aptos Narrow"/>
      <family val="2"/>
      <scheme val="minor"/>
    </font>
    <font>
      <b/>
      <sz val="11"/>
      <color theme="1"/>
      <name val="Calibri"/>
      <family val="2"/>
    </font>
    <font>
      <b/>
      <sz val="11"/>
      <color rgb="FF000000"/>
      <name val="Aptos Narrow"/>
      <family val="2"/>
    </font>
    <font>
      <sz val="11"/>
      <color rgb="FF000000"/>
      <name val="Aptos Narrow"/>
      <family val="2"/>
    </font>
    <font>
      <b/>
      <sz val="11"/>
      <color rgb="FFFFC000"/>
      <name val="Calibri"/>
      <family val="2"/>
    </font>
    <font>
      <b/>
      <sz val="12"/>
      <color theme="1"/>
      <name val="Calibri"/>
      <family val="2"/>
    </font>
    <font>
      <sz val="11"/>
      <color rgb="FF000000"/>
      <name val="Aptos"/>
      <family val="2"/>
    </font>
    <font>
      <b/>
      <sz val="11"/>
      <color rgb="FFFFC000"/>
      <name val="Aptos Narrow"/>
      <family val="2"/>
      <scheme val="minor"/>
    </font>
    <font>
      <sz val="11"/>
      <color theme="1"/>
      <name val="Symbol"/>
      <family val="1"/>
      <charset val="2"/>
    </font>
    <font>
      <sz val="11"/>
      <color theme="1"/>
      <name val="Aptos Narrow"/>
      <family val="1"/>
      <charset val="2"/>
      <scheme val="minor"/>
    </font>
    <font>
      <sz val="11"/>
      <color rgb="FFFF0000"/>
      <name val="Aptos Narrow"/>
      <family val="2"/>
      <scheme val="minor"/>
    </font>
    <font>
      <sz val="11"/>
      <name val="Aptos Narrow"/>
      <family val="2"/>
      <scheme val="minor"/>
    </font>
  </fonts>
  <fills count="30">
    <fill>
      <patternFill patternType="none"/>
    </fill>
    <fill>
      <patternFill patternType="gray125"/>
    </fill>
    <fill>
      <patternFill patternType="solid">
        <fgColor rgb="FF92D050"/>
        <bgColor indexed="64"/>
      </patternFill>
    </fill>
    <fill>
      <patternFill patternType="solid">
        <fgColor theme="5" tint="0.59999389629810485"/>
        <bgColor indexed="64"/>
      </patternFill>
    </fill>
    <fill>
      <patternFill patternType="solid">
        <fgColor theme="0"/>
        <bgColor indexed="64"/>
      </patternFill>
    </fill>
    <fill>
      <patternFill patternType="solid">
        <fgColor rgb="FFFF0000"/>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FFFFF"/>
        <bgColor indexed="64"/>
      </patternFill>
    </fill>
    <fill>
      <patternFill patternType="solid">
        <fgColor rgb="FFFFC0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EE0000"/>
        <bgColor indexed="64"/>
      </patternFill>
    </fill>
    <fill>
      <patternFill patternType="solid">
        <fgColor theme="9" tint="0.59999389629810485"/>
        <bgColor indexed="64"/>
      </patternFill>
    </fill>
    <fill>
      <patternFill patternType="solid">
        <fgColor rgb="FFF1A983"/>
        <bgColor rgb="FF000000"/>
      </patternFill>
    </fill>
    <fill>
      <patternFill patternType="solid">
        <fgColor rgb="FFFBE2D5"/>
        <bgColor rgb="FF000000"/>
      </patternFill>
    </fill>
    <fill>
      <patternFill patternType="solid">
        <fgColor rgb="FFF2CEEF"/>
        <bgColor rgb="FF000000"/>
      </patternFill>
    </fill>
    <fill>
      <patternFill patternType="solid">
        <fgColor rgb="FFD86DCD"/>
        <bgColor rgb="FF000000"/>
      </patternFill>
    </fill>
    <fill>
      <patternFill patternType="solid">
        <fgColor rgb="FFFBE2D5"/>
        <bgColor indexed="64"/>
      </patternFill>
    </fill>
    <fill>
      <patternFill patternType="solid">
        <fgColor rgb="FFF2CEEF"/>
        <bgColor indexed="64"/>
      </patternFill>
    </fill>
    <fill>
      <patternFill patternType="solid">
        <fgColor rgb="FF153D63"/>
        <bgColor indexed="64"/>
      </patternFill>
    </fill>
    <fill>
      <patternFill patternType="solid">
        <fgColor rgb="FFB3E5A1"/>
        <bgColor indexed="64"/>
      </patternFill>
    </fill>
    <fill>
      <patternFill patternType="solid">
        <fgColor rgb="FFBFBFBF"/>
        <bgColor indexed="64"/>
      </patternFill>
    </fill>
    <fill>
      <patternFill patternType="solid">
        <fgColor theme="9" tint="0.79998168889431442"/>
        <bgColor indexed="64"/>
      </patternFill>
    </fill>
    <fill>
      <patternFill patternType="solid">
        <fgColor rgb="FF00206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ck">
        <color indexed="64"/>
      </left>
      <right style="thick">
        <color indexed="64"/>
      </right>
      <top style="thick">
        <color indexed="64"/>
      </top>
      <bottom style="thick">
        <color indexed="64"/>
      </bottom>
      <diagonal/>
    </border>
    <border>
      <left style="thin">
        <color indexed="64"/>
      </left>
      <right/>
      <top/>
      <bottom/>
      <diagonal/>
    </border>
    <border>
      <left style="thin">
        <color indexed="64"/>
      </left>
      <right style="thin">
        <color indexed="64"/>
      </right>
      <top style="thin">
        <color indexed="64"/>
      </top>
      <bottom/>
      <diagonal/>
    </border>
    <border>
      <left style="medium">
        <color rgb="FF7F7F7F"/>
      </left>
      <right style="medium">
        <color rgb="FF7F7F7F"/>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4">
    <xf numFmtId="0" fontId="0" fillId="0" borderId="0"/>
    <xf numFmtId="9" fontId="3" fillId="0" borderId="0" applyFont="0" applyFill="0" applyBorder="0" applyAlignment="0" applyProtection="0"/>
    <xf numFmtId="0" fontId="7" fillId="0" borderId="0" applyNumberFormat="0" applyFill="0" applyBorder="0" applyAlignment="0" applyProtection="0"/>
    <xf numFmtId="44" fontId="3" fillId="0" borderId="0" applyFont="0" applyFill="0" applyBorder="0" applyAlignment="0" applyProtection="0"/>
  </cellStyleXfs>
  <cellXfs count="261">
    <xf numFmtId="0" fontId="0" fillId="0" borderId="0" xfId="0"/>
    <xf numFmtId="14" fontId="0" fillId="0" borderId="0" xfId="0" applyNumberFormat="1"/>
    <xf numFmtId="0" fontId="0" fillId="0" borderId="1" xfId="0" applyBorder="1"/>
    <xf numFmtId="0" fontId="2" fillId="0" borderId="0" xfId="0" applyFont="1"/>
    <xf numFmtId="0" fontId="1" fillId="0" borderId="0" xfId="0" applyFont="1"/>
    <xf numFmtId="9" fontId="0" fillId="0" borderId="0" xfId="1" applyFont="1"/>
    <xf numFmtId="0" fontId="4" fillId="0" borderId="0" xfId="0" applyFont="1"/>
    <xf numFmtId="0" fontId="0" fillId="0" borderId="1" xfId="0" applyBorder="1" applyAlignment="1">
      <alignment wrapText="1"/>
    </xf>
    <xf numFmtId="0" fontId="4" fillId="0" borderId="0" xfId="0" applyFont="1" applyAlignment="1">
      <alignment wrapText="1"/>
    </xf>
    <xf numFmtId="0" fontId="0" fillId="0" borderId="0" xfId="0" applyAlignment="1">
      <alignment wrapText="1"/>
    </xf>
    <xf numFmtId="0" fontId="2" fillId="0" borderId="0" xfId="0" applyFont="1" applyAlignment="1">
      <alignment wrapText="1"/>
    </xf>
    <xf numFmtId="0" fontId="0" fillId="2" borderId="1" xfId="0" applyFill="1" applyBorder="1"/>
    <xf numFmtId="0" fontId="5" fillId="0" borderId="0" xfId="0" applyFont="1" applyAlignment="1">
      <alignment wrapText="1"/>
    </xf>
    <xf numFmtId="14" fontId="4" fillId="0" borderId="0" xfId="0" applyNumberFormat="1" applyFont="1"/>
    <xf numFmtId="0" fontId="0" fillId="4" borderId="1" xfId="0" applyFill="1" applyBorder="1"/>
    <xf numFmtId="0" fontId="10" fillId="0" borderId="3" xfId="0" applyFont="1" applyBorder="1" applyAlignment="1">
      <alignment vertical="top" wrapText="1"/>
    </xf>
    <xf numFmtId="0" fontId="0" fillId="4" borderId="0" xfId="0" applyFill="1"/>
    <xf numFmtId="0" fontId="0" fillId="5" borderId="1" xfId="0" applyFill="1" applyBorder="1"/>
    <xf numFmtId="0" fontId="0" fillId="4" borderId="2" xfId="0" applyFill="1" applyBorder="1"/>
    <xf numFmtId="0" fontId="0" fillId="2" borderId="1" xfId="0" applyFill="1" applyBorder="1" applyAlignment="1">
      <alignment wrapText="1"/>
    </xf>
    <xf numFmtId="0" fontId="0" fillId="3" borderId="1" xfId="0" applyFill="1" applyBorder="1"/>
    <xf numFmtId="0" fontId="11" fillId="0" borderId="0" xfId="0" applyFont="1" applyAlignment="1">
      <alignment wrapText="1"/>
    </xf>
    <xf numFmtId="0" fontId="0" fillId="0" borderId="1" xfId="0" applyBorder="1" applyAlignment="1">
      <alignment horizontal="left" vertical="top" wrapText="1"/>
    </xf>
    <xf numFmtId="0" fontId="0" fillId="0" borderId="1" xfId="0" applyBorder="1" applyAlignment="1">
      <alignment vertical="top" wrapText="1"/>
    </xf>
    <xf numFmtId="0" fontId="0" fillId="6" borderId="1" xfId="0" applyFill="1" applyBorder="1" applyAlignment="1">
      <alignment wrapText="1"/>
    </xf>
    <xf numFmtId="0" fontId="0" fillId="7" borderId="1" xfId="0" applyFill="1" applyBorder="1"/>
    <xf numFmtId="0" fontId="0" fillId="7" borderId="1" xfId="0" applyFill="1" applyBorder="1" applyAlignment="1">
      <alignment wrapText="1"/>
    </xf>
    <xf numFmtId="0" fontId="0" fillId="8" borderId="1" xfId="0" applyFill="1" applyBorder="1"/>
    <xf numFmtId="0" fontId="0" fillId="8" borderId="1" xfId="0" applyFill="1" applyBorder="1" applyAlignment="1">
      <alignment wrapText="1"/>
    </xf>
    <xf numFmtId="0" fontId="0" fillId="2" borderId="0" xfId="0" applyFill="1" applyAlignment="1">
      <alignment wrapText="1"/>
    </xf>
    <xf numFmtId="0" fontId="0" fillId="5" borderId="0" xfId="0" applyFill="1" applyAlignment="1">
      <alignment wrapText="1"/>
    </xf>
    <xf numFmtId="0" fontId="8" fillId="2" borderId="1" xfId="0" applyFont="1" applyFill="1" applyBorder="1" applyAlignment="1">
      <alignment vertical="center"/>
    </xf>
    <xf numFmtId="0" fontId="7" fillId="2" borderId="1" xfId="2" applyFill="1" applyBorder="1"/>
    <xf numFmtId="0" fontId="8" fillId="0" borderId="1" xfId="0" applyFont="1" applyBorder="1" applyAlignment="1">
      <alignment vertical="center"/>
    </xf>
    <xf numFmtId="0" fontId="7" fillId="0" borderId="1" xfId="2" applyBorder="1"/>
    <xf numFmtId="17" fontId="0" fillId="0" borderId="1" xfId="0" applyNumberFormat="1" applyBorder="1"/>
    <xf numFmtId="0" fontId="8" fillId="3" borderId="1" xfId="0" applyFont="1" applyFill="1" applyBorder="1" applyAlignment="1">
      <alignment vertical="center"/>
    </xf>
    <xf numFmtId="0" fontId="0" fillId="3" borderId="1" xfId="0" applyFill="1" applyBorder="1" applyAlignment="1">
      <alignment wrapText="1"/>
    </xf>
    <xf numFmtId="0" fontId="7" fillId="3" borderId="1" xfId="2" applyFill="1" applyBorder="1"/>
    <xf numFmtId="0" fontId="9" fillId="2" borderId="1" xfId="0" applyFont="1" applyFill="1" applyBorder="1" applyAlignment="1">
      <alignment vertical="center"/>
    </xf>
    <xf numFmtId="0" fontId="9" fillId="2" borderId="1" xfId="0" applyFont="1" applyFill="1" applyBorder="1"/>
    <xf numFmtId="0" fontId="7" fillId="7" borderId="1" xfId="2" applyFill="1" applyBorder="1"/>
    <xf numFmtId="0" fontId="8" fillId="0" borderId="0" xfId="0" applyFont="1"/>
    <xf numFmtId="0" fontId="8" fillId="0" borderId="0" xfId="0" applyFont="1" applyAlignment="1">
      <alignment vertical="center"/>
    </xf>
    <xf numFmtId="0" fontId="12" fillId="0" borderId="1" xfId="0" applyFont="1" applyBorder="1" applyAlignment="1">
      <alignment vertical="center" wrapText="1"/>
    </xf>
    <xf numFmtId="0" fontId="8" fillId="0" borderId="1" xfId="0" applyFont="1" applyBorder="1" applyAlignment="1">
      <alignment vertical="center" wrapText="1"/>
    </xf>
    <xf numFmtId="0" fontId="1" fillId="0" borderId="0" xfId="0" applyFont="1" applyAlignment="1">
      <alignment wrapText="1"/>
    </xf>
    <xf numFmtId="16" fontId="0" fillId="0" borderId="0" xfId="0" applyNumberFormat="1"/>
    <xf numFmtId="16" fontId="0" fillId="2" borderId="0" xfId="0" applyNumberFormat="1" applyFill="1"/>
    <xf numFmtId="0" fontId="0" fillId="2" borderId="0" xfId="0" applyFill="1"/>
    <xf numFmtId="0" fontId="4" fillId="2" borderId="0" xfId="0" applyFont="1" applyFill="1"/>
    <xf numFmtId="0" fontId="0" fillId="8" borderId="4" xfId="0" applyFill="1" applyBorder="1" applyAlignment="1">
      <alignment wrapText="1"/>
    </xf>
    <xf numFmtId="0" fontId="4" fillId="2" borderId="0" xfId="0" applyFont="1" applyFill="1" applyAlignment="1">
      <alignment wrapText="1"/>
    </xf>
    <xf numFmtId="0" fontId="4" fillId="5" borderId="0" xfId="0" applyFont="1" applyFill="1" applyAlignment="1">
      <alignment wrapText="1"/>
    </xf>
    <xf numFmtId="0" fontId="0" fillId="0" borderId="5" xfId="0" applyBorder="1"/>
    <xf numFmtId="0" fontId="0" fillId="9" borderId="1" xfId="0" applyFill="1" applyBorder="1"/>
    <xf numFmtId="0" fontId="14" fillId="10" borderId="6" xfId="0" applyFont="1" applyFill="1" applyBorder="1" applyAlignment="1">
      <alignment vertical="center"/>
    </xf>
    <xf numFmtId="0" fontId="14" fillId="10" borderId="7" xfId="0" applyFont="1" applyFill="1" applyBorder="1" applyAlignment="1">
      <alignment vertical="center"/>
    </xf>
    <xf numFmtId="0" fontId="15" fillId="10" borderId="8" xfId="0" applyFont="1" applyFill="1" applyBorder="1" applyAlignment="1">
      <alignment vertical="center"/>
    </xf>
    <xf numFmtId="0" fontId="13" fillId="10" borderId="9" xfId="0" applyFont="1" applyFill="1" applyBorder="1"/>
    <xf numFmtId="0" fontId="14" fillId="10" borderId="9" xfId="0" applyFont="1" applyFill="1" applyBorder="1" applyAlignment="1">
      <alignment vertical="center"/>
    </xf>
    <xf numFmtId="0" fontId="14" fillId="10" borderId="9" xfId="0" applyFont="1" applyFill="1" applyBorder="1" applyAlignment="1">
      <alignment vertical="center" wrapText="1"/>
    </xf>
    <xf numFmtId="14" fontId="0" fillId="2" borderId="1" xfId="0" applyNumberFormat="1" applyFill="1" applyBorder="1"/>
    <xf numFmtId="16" fontId="0" fillId="0" borderId="1" xfId="0" applyNumberFormat="1" applyBorder="1" applyAlignment="1">
      <alignment wrapText="1"/>
    </xf>
    <xf numFmtId="0" fontId="4" fillId="0" borderId="0" xfId="0" applyFont="1" applyAlignment="1">
      <alignment horizontal="center" vertical="center" wrapText="1"/>
    </xf>
    <xf numFmtId="14" fontId="0" fillId="0" borderId="0" xfId="0" applyNumberFormat="1" applyAlignment="1">
      <alignment wrapText="1"/>
    </xf>
    <xf numFmtId="0" fontId="4" fillId="4" borderId="0" xfId="0" applyFont="1" applyFill="1" applyAlignment="1">
      <alignment wrapText="1"/>
    </xf>
    <xf numFmtId="164" fontId="4" fillId="4" borderId="0" xfId="0" applyNumberFormat="1" applyFont="1" applyFill="1" applyAlignment="1">
      <alignment wrapText="1"/>
    </xf>
    <xf numFmtId="0" fontId="4" fillId="0" borderId="2" xfId="0" applyFont="1" applyBorder="1" applyAlignment="1">
      <alignment vertical="center" wrapText="1"/>
    </xf>
    <xf numFmtId="0" fontId="1" fillId="0" borderId="2" xfId="0" applyFont="1" applyBorder="1"/>
    <xf numFmtId="0" fontId="0" fillId="0" borderId="1" xfId="0" applyBorder="1" applyAlignment="1">
      <alignment vertical="center"/>
    </xf>
    <xf numFmtId="0" fontId="0" fillId="0" borderId="1" xfId="0" applyBorder="1" applyAlignment="1">
      <alignment vertical="center" wrapText="1"/>
    </xf>
    <xf numFmtId="0" fontId="4" fillId="0" borderId="2" xfId="0" applyFont="1" applyBorder="1"/>
    <xf numFmtId="0" fontId="0" fillId="0" borderId="2" xfId="0" applyBorder="1"/>
    <xf numFmtId="0" fontId="0" fillId="6" borderId="1" xfId="0" applyFill="1" applyBorder="1"/>
    <xf numFmtId="0" fontId="4" fillId="9" borderId="0" xfId="0" applyFont="1" applyFill="1" applyAlignment="1">
      <alignment wrapText="1"/>
    </xf>
    <xf numFmtId="0" fontId="4" fillId="0" borderId="1" xfId="0" applyFont="1" applyBorder="1" applyAlignment="1">
      <alignment horizontal="center" vertical="center" wrapText="1"/>
    </xf>
    <xf numFmtId="0" fontId="8" fillId="0" borderId="1" xfId="0" applyFont="1" applyBorder="1" applyAlignment="1">
      <alignment wrapText="1"/>
    </xf>
    <xf numFmtId="0" fontId="8" fillId="0" borderId="1" xfId="0" applyFont="1" applyBorder="1"/>
    <xf numFmtId="0" fontId="7" fillId="0" borderId="1" xfId="2" applyBorder="1" applyAlignment="1">
      <alignment vertical="center"/>
    </xf>
    <xf numFmtId="0" fontId="7" fillId="0" borderId="0" xfId="2" applyAlignment="1">
      <alignment vertical="center"/>
    </xf>
    <xf numFmtId="0" fontId="17" fillId="0" borderId="0" xfId="0" applyFont="1"/>
    <xf numFmtId="0" fontId="14" fillId="10" borderId="7" xfId="0" applyFont="1" applyFill="1" applyBorder="1" applyAlignment="1">
      <alignment vertical="center" wrapText="1"/>
    </xf>
    <xf numFmtId="0" fontId="18" fillId="0" borderId="0" xfId="0" applyFont="1" applyAlignment="1">
      <alignment horizontal="left" vertical="center" indent="1"/>
    </xf>
    <xf numFmtId="14" fontId="0" fillId="0" borderId="1" xfId="0" applyNumberFormat="1" applyBorder="1"/>
    <xf numFmtId="0" fontId="18" fillId="2" borderId="0" xfId="0" applyFont="1" applyFill="1" applyAlignment="1">
      <alignment horizontal="left" vertical="center" indent="1"/>
    </xf>
    <xf numFmtId="0" fontId="19" fillId="0" borderId="0" xfId="0" applyFont="1"/>
    <xf numFmtId="0" fontId="4" fillId="0" borderId="0" xfId="0" applyFont="1" applyAlignment="1">
      <alignment vertical="center" wrapText="1"/>
    </xf>
    <xf numFmtId="0" fontId="0" fillId="11" borderId="0" xfId="0" applyFill="1"/>
    <xf numFmtId="0" fontId="0" fillId="0" borderId="0" xfId="0" applyAlignment="1">
      <alignment horizontal="left" vertical="top" wrapText="1"/>
    </xf>
    <xf numFmtId="0" fontId="0" fillId="12" borderId="1" xfId="0" applyFill="1" applyBorder="1"/>
    <xf numFmtId="0" fontId="0" fillId="12" borderId="1" xfId="0" applyFill="1" applyBorder="1" applyAlignment="1">
      <alignment wrapText="1"/>
    </xf>
    <xf numFmtId="0" fontId="0" fillId="13" borderId="1" xfId="0" applyFill="1" applyBorder="1"/>
    <xf numFmtId="0" fontId="4" fillId="2" borderId="1" xfId="0" applyFont="1" applyFill="1" applyBorder="1" applyAlignment="1">
      <alignment wrapText="1"/>
    </xf>
    <xf numFmtId="0" fontId="0" fillId="13" borderId="1" xfId="0" applyFill="1" applyBorder="1" applyAlignment="1">
      <alignment wrapText="1"/>
    </xf>
    <xf numFmtId="0" fontId="4" fillId="5" borderId="1" xfId="0" applyFont="1" applyFill="1" applyBorder="1" applyAlignment="1">
      <alignment wrapText="1"/>
    </xf>
    <xf numFmtId="0" fontId="0" fillId="0" borderId="1" xfId="0" applyBorder="1" applyAlignment="1">
      <alignment horizontal="center" vertical="top" wrapText="1"/>
    </xf>
    <xf numFmtId="0" fontId="8" fillId="0" borderId="0" xfId="0" applyFont="1" applyAlignment="1">
      <alignment vertical="center" wrapText="1"/>
    </xf>
    <xf numFmtId="0" fontId="4" fillId="0" borderId="1" xfId="0" applyFont="1" applyBorder="1"/>
    <xf numFmtId="0" fontId="18" fillId="0" borderId="1" xfId="0" applyFont="1" applyBorder="1" applyAlignment="1">
      <alignment vertical="center"/>
    </xf>
    <xf numFmtId="14" fontId="4" fillId="0" borderId="1" xfId="0" applyNumberFormat="1" applyFont="1" applyBorder="1"/>
    <xf numFmtId="0" fontId="14" fillId="0" borderId="0" xfId="0" applyFont="1" applyAlignment="1">
      <alignment vertical="center"/>
    </xf>
    <xf numFmtId="0" fontId="22" fillId="0" borderId="0" xfId="0" applyFont="1" applyAlignment="1">
      <alignment vertical="center" wrapText="1"/>
    </xf>
    <xf numFmtId="0" fontId="14" fillId="0" borderId="0" xfId="0" applyFont="1" applyAlignment="1">
      <alignment vertical="center" wrapText="1"/>
    </xf>
    <xf numFmtId="0" fontId="24" fillId="0" borderId="0" xfId="0" applyFont="1" applyAlignment="1">
      <alignment vertical="center" wrapText="1"/>
    </xf>
    <xf numFmtId="0" fontId="23" fillId="0" borderId="1" xfId="0" applyFont="1" applyBorder="1" applyAlignment="1">
      <alignment horizontal="left" vertical="center" wrapText="1"/>
    </xf>
    <xf numFmtId="0" fontId="23" fillId="0" borderId="1" xfId="0" applyFont="1" applyBorder="1" applyAlignment="1">
      <alignment horizontal="left" vertical="center" indent="1"/>
    </xf>
    <xf numFmtId="14" fontId="0" fillId="9" borderId="1" xfId="0" applyNumberFormat="1" applyFill="1" applyBorder="1"/>
    <xf numFmtId="0" fontId="16" fillId="0" borderId="0" xfId="0" applyFont="1"/>
    <xf numFmtId="44" fontId="0" fillId="0" borderId="1" xfId="0" applyNumberFormat="1" applyBorder="1"/>
    <xf numFmtId="14" fontId="0" fillId="0" borderId="0" xfId="0" applyNumberFormat="1" applyAlignment="1">
      <alignment horizontal="left" vertical="top" wrapText="1"/>
    </xf>
    <xf numFmtId="0" fontId="0" fillId="14" borderId="1" xfId="0" applyFill="1" applyBorder="1"/>
    <xf numFmtId="0" fontId="18" fillId="14" borderId="0" xfId="0" applyFont="1" applyFill="1" applyAlignment="1">
      <alignment horizontal="left" vertical="center" indent="1"/>
    </xf>
    <xf numFmtId="0" fontId="7" fillId="0" borderId="0" xfId="2"/>
    <xf numFmtId="2" fontId="0" fillId="0" borderId="0" xfId="1" applyNumberFormat="1" applyFont="1" applyBorder="1" applyAlignment="1">
      <alignment wrapText="1"/>
    </xf>
    <xf numFmtId="14" fontId="0" fillId="0" borderId="1" xfId="0" applyNumberFormat="1" applyBorder="1" applyAlignment="1">
      <alignment vertical="center"/>
    </xf>
    <xf numFmtId="0" fontId="0" fillId="8" borderId="10" xfId="0" applyFill="1" applyBorder="1" applyAlignment="1">
      <alignment wrapText="1"/>
    </xf>
    <xf numFmtId="0" fontId="0" fillId="0" borderId="11" xfId="0" applyBorder="1"/>
    <xf numFmtId="0" fontId="0" fillId="8" borderId="0" xfId="0" applyFill="1"/>
    <xf numFmtId="0" fontId="0" fillId="0" borderId="4" xfId="0" applyBorder="1"/>
    <xf numFmtId="0" fontId="0" fillId="0" borderId="5" xfId="0" applyBorder="1" applyAlignment="1">
      <alignment wrapText="1"/>
    </xf>
    <xf numFmtId="0" fontId="0" fillId="0" borderId="12" xfId="0" applyBorder="1"/>
    <xf numFmtId="165" fontId="0" fillId="0" borderId="0" xfId="0" applyNumberFormat="1"/>
    <xf numFmtId="0" fontId="0" fillId="15" borderId="1" xfId="0" applyFill="1" applyBorder="1"/>
    <xf numFmtId="0" fontId="0" fillId="0" borderId="4" xfId="0" applyBorder="1" applyAlignment="1">
      <alignment vertical="center" wrapText="1"/>
    </xf>
    <xf numFmtId="0" fontId="0" fillId="16" borderId="1" xfId="0" applyFill="1" applyBorder="1" applyAlignment="1">
      <alignment wrapText="1"/>
    </xf>
    <xf numFmtId="166" fontId="0" fillId="0" borderId="0" xfId="0" applyNumberFormat="1" applyAlignment="1">
      <alignment wrapText="1"/>
    </xf>
    <xf numFmtId="0" fontId="0" fillId="8" borderId="2" xfId="0" applyFill="1" applyBorder="1"/>
    <xf numFmtId="0" fontId="1" fillId="9" borderId="2" xfId="0" applyFont="1" applyFill="1" applyBorder="1"/>
    <xf numFmtId="0" fontId="0" fillId="16" borderId="2" xfId="0" applyFill="1" applyBorder="1" applyAlignment="1">
      <alignment wrapText="1"/>
    </xf>
    <xf numFmtId="0" fontId="0" fillId="4" borderId="1" xfId="0" applyFill="1" applyBorder="1" applyAlignment="1">
      <alignment wrapText="1"/>
    </xf>
    <xf numFmtId="0" fontId="4" fillId="17" borderId="1" xfId="0" applyFont="1" applyFill="1" applyBorder="1" applyAlignment="1">
      <alignment wrapText="1"/>
    </xf>
    <xf numFmtId="2" fontId="0" fillId="0" borderId="0" xfId="0" applyNumberFormat="1"/>
    <xf numFmtId="14" fontId="0" fillId="4" borderId="0" xfId="0" applyNumberFormat="1" applyFill="1"/>
    <xf numFmtId="2" fontId="0" fillId="4" borderId="0" xfId="0" applyNumberFormat="1" applyFill="1"/>
    <xf numFmtId="0" fontId="4" fillId="0" borderId="1" xfId="0" applyFont="1" applyBorder="1" applyAlignment="1">
      <alignment wrapText="1"/>
    </xf>
    <xf numFmtId="17" fontId="4" fillId="0" borderId="0" xfId="0" applyNumberFormat="1" applyFont="1" applyAlignment="1">
      <alignment wrapText="1"/>
    </xf>
    <xf numFmtId="2" fontId="4" fillId="0" borderId="0" xfId="0" applyNumberFormat="1" applyFont="1" applyAlignment="1">
      <alignment wrapText="1"/>
    </xf>
    <xf numFmtId="14" fontId="0" fillId="8" borderId="0" xfId="0" applyNumberFormat="1" applyFill="1"/>
    <xf numFmtId="0" fontId="0" fillId="9" borderId="0" xfId="0" applyFill="1"/>
    <xf numFmtId="14" fontId="0" fillId="9" borderId="0" xfId="0" applyNumberFormat="1" applyFill="1"/>
    <xf numFmtId="2" fontId="0" fillId="9" borderId="0" xfId="0" applyNumberFormat="1" applyFill="1"/>
    <xf numFmtId="0" fontId="0" fillId="16" borderId="0" xfId="0" applyFill="1"/>
    <xf numFmtId="14" fontId="0" fillId="16" borderId="0" xfId="0" applyNumberFormat="1" applyFill="1"/>
    <xf numFmtId="0" fontId="0" fillId="18" borderId="1" xfId="0" applyFill="1" applyBorder="1"/>
    <xf numFmtId="0" fontId="4" fillId="18" borderId="1" xfId="0" applyFont="1" applyFill="1" applyBorder="1"/>
    <xf numFmtId="0" fontId="4" fillId="7" borderId="1" xfId="0" applyFont="1" applyFill="1" applyBorder="1"/>
    <xf numFmtId="0" fontId="4" fillId="13" borderId="1" xfId="0" applyFont="1" applyFill="1" applyBorder="1"/>
    <xf numFmtId="0" fontId="4" fillId="14" borderId="1" xfId="0" applyFont="1" applyFill="1" applyBorder="1"/>
    <xf numFmtId="0" fontId="0" fillId="18" borderId="0" xfId="0" applyFill="1"/>
    <xf numFmtId="0" fontId="0" fillId="0" borderId="0" xfId="0" applyAlignment="1">
      <alignment vertical="center" wrapText="1"/>
    </xf>
    <xf numFmtId="0" fontId="26" fillId="0" borderId="0" xfId="0" applyFont="1" applyAlignment="1">
      <alignment wrapText="1"/>
    </xf>
    <xf numFmtId="0" fontId="0" fillId="5" borderId="0" xfId="0" applyFill="1"/>
    <xf numFmtId="14" fontId="0" fillId="5" borderId="0" xfId="0" applyNumberFormat="1" applyFill="1"/>
    <xf numFmtId="2" fontId="0" fillId="5" borderId="0" xfId="0" applyNumberFormat="1" applyFill="1"/>
    <xf numFmtId="0" fontId="27" fillId="0" borderId="0" xfId="0" applyFont="1"/>
    <xf numFmtId="0" fontId="28" fillId="19" borderId="0" xfId="0" applyFont="1" applyFill="1" applyAlignment="1">
      <alignment vertical="center" wrapText="1"/>
    </xf>
    <xf numFmtId="0" fontId="28" fillId="20" borderId="0" xfId="0" applyFont="1" applyFill="1" applyAlignment="1">
      <alignment vertical="center" wrapText="1"/>
    </xf>
    <xf numFmtId="0" fontId="28" fillId="21" borderId="1" xfId="0" applyFont="1" applyFill="1" applyBorder="1" applyAlignment="1">
      <alignment vertical="center" wrapText="1"/>
    </xf>
    <xf numFmtId="0" fontId="29" fillId="0" borderId="1" xfId="0" applyFont="1" applyBorder="1" applyAlignment="1">
      <alignment vertical="center" wrapText="1"/>
    </xf>
    <xf numFmtId="0" fontId="29" fillId="0" borderId="1" xfId="0" applyFont="1" applyBorder="1"/>
    <xf numFmtId="0" fontId="28" fillId="22" borderId="1" xfId="0" applyFont="1" applyFill="1" applyBorder="1" applyAlignment="1">
      <alignment vertical="center" wrapText="1"/>
    </xf>
    <xf numFmtId="0" fontId="30" fillId="0" borderId="1" xfId="0" applyFont="1" applyBorder="1" applyAlignment="1">
      <alignment vertical="center" wrapText="1"/>
    </xf>
    <xf numFmtId="0" fontId="4" fillId="8" borderId="1" xfId="0" applyFont="1" applyFill="1" applyBorder="1"/>
    <xf numFmtId="0" fontId="0" fillId="0" borderId="13" xfId="0" applyBorder="1"/>
    <xf numFmtId="0" fontId="1" fillId="0" borderId="1" xfId="0" applyFont="1" applyBorder="1"/>
    <xf numFmtId="0" fontId="1" fillId="0" borderId="1" xfId="0" applyFont="1" applyBorder="1" applyAlignment="1">
      <alignment wrapText="1"/>
    </xf>
    <xf numFmtId="0" fontId="29" fillId="0" borderId="0" xfId="0" applyFont="1"/>
    <xf numFmtId="0" fontId="29" fillId="21" borderId="16" xfId="0" applyFont="1" applyFill="1" applyBorder="1"/>
    <xf numFmtId="0" fontId="29" fillId="0" borderId="17" xfId="0" applyFont="1" applyBorder="1"/>
    <xf numFmtId="0" fontId="28" fillId="0" borderId="16" xfId="0" applyFont="1" applyBorder="1"/>
    <xf numFmtId="0" fontId="28" fillId="0" borderId="17" xfId="0" applyFont="1" applyBorder="1"/>
    <xf numFmtId="0" fontId="28" fillId="0" borderId="18" xfId="0" applyFont="1" applyBorder="1"/>
    <xf numFmtId="0" fontId="28" fillId="0" borderId="19" xfId="0" applyFont="1" applyBorder="1"/>
    <xf numFmtId="0" fontId="28" fillId="0" borderId="0" xfId="0" applyFont="1"/>
    <xf numFmtId="0" fontId="33" fillId="24" borderId="16" xfId="0" applyFont="1" applyFill="1" applyBorder="1" applyAlignment="1">
      <alignment vertical="center"/>
    </xf>
    <xf numFmtId="0" fontId="33" fillId="0" borderId="17" xfId="0" applyFont="1" applyBorder="1" applyAlignment="1">
      <alignment horizontal="right" vertical="center"/>
    </xf>
    <xf numFmtId="0" fontId="32" fillId="0" borderId="16" xfId="0" applyFont="1" applyBorder="1" applyAlignment="1">
      <alignment vertical="center"/>
    </xf>
    <xf numFmtId="0" fontId="32" fillId="0" borderId="17" xfId="0" applyFont="1" applyBorder="1" applyAlignment="1">
      <alignment horizontal="right" vertical="center"/>
    </xf>
    <xf numFmtId="0" fontId="32" fillId="0" borderId="18" xfId="0" applyFont="1" applyBorder="1" applyAlignment="1">
      <alignment vertical="center"/>
    </xf>
    <xf numFmtId="0" fontId="32" fillId="0" borderId="19" xfId="0" applyFont="1" applyBorder="1" applyAlignment="1">
      <alignment horizontal="right" vertical="center"/>
    </xf>
    <xf numFmtId="0" fontId="33" fillId="0" borderId="17" xfId="0" applyFont="1" applyBorder="1" applyAlignment="1">
      <alignment vertical="center"/>
    </xf>
    <xf numFmtId="0" fontId="32" fillId="0" borderId="17" xfId="0" applyFont="1" applyBorder="1" applyAlignment="1">
      <alignment vertical="center"/>
    </xf>
    <xf numFmtId="0" fontId="32" fillId="0" borderId="19" xfId="0" applyFont="1" applyBorder="1" applyAlignment="1">
      <alignment vertical="center"/>
    </xf>
    <xf numFmtId="2" fontId="4" fillId="0" borderId="1" xfId="0" applyNumberFormat="1" applyFont="1" applyBorder="1"/>
    <xf numFmtId="2" fontId="0" fillId="6" borderId="1" xfId="0" applyNumberFormat="1" applyFill="1" applyBorder="1" applyAlignment="1">
      <alignment wrapText="1"/>
    </xf>
    <xf numFmtId="2" fontId="0" fillId="16" borderId="1" xfId="0" applyNumberFormat="1" applyFill="1" applyBorder="1"/>
    <xf numFmtId="2" fontId="0" fillId="16" borderId="1" xfId="0" applyNumberFormat="1" applyFill="1" applyBorder="1" applyAlignment="1">
      <alignment wrapText="1"/>
    </xf>
    <xf numFmtId="2" fontId="0" fillId="8" borderId="1" xfId="0" applyNumberFormat="1" applyFill="1" applyBorder="1"/>
    <xf numFmtId="2" fontId="0" fillId="6" borderId="1" xfId="0" applyNumberFormat="1" applyFill="1" applyBorder="1"/>
    <xf numFmtId="2" fontId="4" fillId="13" borderId="1" xfId="0" applyNumberFormat="1" applyFont="1" applyFill="1" applyBorder="1" applyAlignment="1">
      <alignment wrapText="1"/>
    </xf>
    <xf numFmtId="2" fontId="4" fillId="13" borderId="1" xfId="0" applyNumberFormat="1" applyFont="1" applyFill="1" applyBorder="1"/>
    <xf numFmtId="0" fontId="0" fillId="8" borderId="11" xfId="0" applyFill="1" applyBorder="1"/>
    <xf numFmtId="0" fontId="0" fillId="16" borderId="1" xfId="0" applyFill="1" applyBorder="1"/>
    <xf numFmtId="2" fontId="0" fillId="0" borderId="1" xfId="0" applyNumberFormat="1" applyBorder="1"/>
    <xf numFmtId="0" fontId="34" fillId="25" borderId="20" xfId="0" applyFont="1" applyFill="1" applyBorder="1" applyAlignment="1">
      <alignment horizontal="center" vertical="center" wrapText="1"/>
    </xf>
    <xf numFmtId="0" fontId="34" fillId="25" borderId="21" xfId="0" applyFont="1" applyFill="1" applyBorder="1" applyAlignment="1">
      <alignment horizontal="center" vertical="center" wrapText="1"/>
    </xf>
    <xf numFmtId="0" fontId="31" fillId="0" borderId="22" xfId="0" applyFont="1" applyBorder="1" applyAlignment="1">
      <alignment horizontal="center" vertical="center" wrapText="1"/>
    </xf>
    <xf numFmtId="0" fontId="17" fillId="0" borderId="19" xfId="0" applyFont="1" applyBorder="1" applyAlignment="1">
      <alignment horizontal="center" vertical="center" wrapText="1"/>
    </xf>
    <xf numFmtId="0" fontId="17" fillId="0" borderId="19" xfId="0" applyFont="1" applyBorder="1" applyAlignment="1">
      <alignment vertical="center" wrapText="1"/>
    </xf>
    <xf numFmtId="0" fontId="35" fillId="0" borderId="19" xfId="0" applyFont="1" applyBorder="1" applyAlignment="1">
      <alignment horizontal="center" vertical="center" wrapText="1"/>
    </xf>
    <xf numFmtId="2" fontId="0" fillId="12" borderId="1" xfId="0" applyNumberFormat="1" applyFill="1" applyBorder="1"/>
    <xf numFmtId="2" fontId="0" fillId="13" borderId="1" xfId="0" applyNumberFormat="1" applyFill="1" applyBorder="1"/>
    <xf numFmtId="2" fontId="4" fillId="4" borderId="2" xfId="0" applyNumberFormat="1" applyFont="1" applyFill="1" applyBorder="1"/>
    <xf numFmtId="0" fontId="28" fillId="21" borderId="0" xfId="0" applyFont="1" applyFill="1" applyAlignment="1">
      <alignment vertical="center" wrapText="1"/>
    </xf>
    <xf numFmtId="0" fontId="29" fillId="0" borderId="0" xfId="0" applyFont="1" applyAlignment="1">
      <alignment vertical="center" wrapText="1"/>
    </xf>
    <xf numFmtId="0" fontId="28" fillId="22" borderId="0" xfId="0" applyFont="1" applyFill="1" applyAlignment="1">
      <alignment vertical="center" wrapText="1"/>
    </xf>
    <xf numFmtId="0" fontId="30" fillId="0" borderId="0" xfId="0" applyFont="1" applyAlignment="1">
      <alignment vertical="center" wrapText="1"/>
    </xf>
    <xf numFmtId="0" fontId="18" fillId="0" borderId="22" xfId="0" applyFont="1" applyBorder="1" applyAlignment="1">
      <alignment horizontal="center" vertical="center" wrapText="1"/>
    </xf>
    <xf numFmtId="0" fontId="18" fillId="0" borderId="19" xfId="0" applyFont="1" applyBorder="1" applyAlignment="1">
      <alignment horizontal="center" vertical="center" wrapText="1"/>
    </xf>
    <xf numFmtId="16" fontId="18" fillId="0" borderId="19" xfId="0" applyNumberFormat="1" applyFont="1" applyBorder="1" applyAlignment="1">
      <alignment horizontal="center" vertical="center" wrapText="1"/>
    </xf>
    <xf numFmtId="0" fontId="36" fillId="10" borderId="19" xfId="0" applyFont="1" applyFill="1" applyBorder="1" applyAlignment="1">
      <alignment vertical="center" wrapText="1"/>
    </xf>
    <xf numFmtId="16" fontId="36" fillId="26" borderId="19" xfId="0" applyNumberFormat="1" applyFont="1" applyFill="1" applyBorder="1" applyAlignment="1">
      <alignment vertical="center" wrapText="1"/>
    </xf>
    <xf numFmtId="0" fontId="36" fillId="27" borderId="19" xfId="0" applyFont="1" applyFill="1" applyBorder="1" applyAlignment="1">
      <alignment horizontal="center" vertical="center" wrapText="1"/>
    </xf>
    <xf numFmtId="0" fontId="0" fillId="3" borderId="0" xfId="0" applyFill="1"/>
    <xf numFmtId="14" fontId="0" fillId="3" borderId="0" xfId="0" applyNumberFormat="1" applyFill="1"/>
    <xf numFmtId="0" fontId="0" fillId="18" borderId="2" xfId="0" applyFill="1" applyBorder="1"/>
    <xf numFmtId="2" fontId="4" fillId="4" borderId="1" xfId="0" applyNumberFormat="1" applyFont="1" applyFill="1" applyBorder="1"/>
    <xf numFmtId="0" fontId="32" fillId="23" borderId="14" xfId="0" applyFont="1" applyFill="1" applyBorder="1" applyAlignment="1">
      <alignment horizontal="center" vertical="center"/>
    </xf>
    <xf numFmtId="0" fontId="32" fillId="23" borderId="15" xfId="0" applyFont="1" applyFill="1" applyBorder="1" applyAlignment="1">
      <alignment horizontal="center" vertical="center"/>
    </xf>
    <xf numFmtId="0" fontId="32" fillId="0" borderId="16" xfId="0" applyFont="1" applyBorder="1" applyAlignment="1">
      <alignment horizontal="center" vertical="center"/>
    </xf>
    <xf numFmtId="0" fontId="32" fillId="0" borderId="0" xfId="0" applyFont="1" applyAlignment="1">
      <alignment horizontal="center" vertical="center"/>
    </xf>
    <xf numFmtId="0" fontId="0" fillId="28" borderId="1" xfId="0" applyFill="1" applyBorder="1"/>
    <xf numFmtId="0" fontId="4" fillId="4" borderId="1" xfId="0" applyFont="1" applyFill="1" applyBorder="1" applyAlignment="1">
      <alignment wrapText="1"/>
    </xf>
    <xf numFmtId="2" fontId="4" fillId="4" borderId="0" xfId="0" applyNumberFormat="1" applyFont="1" applyFill="1" applyAlignment="1">
      <alignment wrapText="1"/>
    </xf>
    <xf numFmtId="2" fontId="0" fillId="2" borderId="1" xfId="0" applyNumberFormat="1" applyFill="1" applyBorder="1"/>
    <xf numFmtId="16" fontId="0" fillId="18" borderId="1" xfId="0" applyNumberFormat="1" applyFill="1" applyBorder="1" applyAlignment="1">
      <alignment wrapText="1"/>
    </xf>
    <xf numFmtId="44" fontId="0" fillId="0" borderId="0" xfId="3" applyFont="1"/>
    <xf numFmtId="44" fontId="0" fillId="0" borderId="0" xfId="0" applyNumberFormat="1"/>
    <xf numFmtId="2" fontId="0" fillId="8" borderId="2" xfId="0" applyNumberFormat="1" applyFill="1" applyBorder="1"/>
    <xf numFmtId="2" fontId="0" fillId="16" borderId="2" xfId="0" applyNumberFormat="1" applyFill="1" applyBorder="1" applyAlignment="1">
      <alignment wrapText="1"/>
    </xf>
    <xf numFmtId="0" fontId="0" fillId="28" borderId="0" xfId="0" applyFill="1"/>
    <xf numFmtId="2" fontId="0" fillId="4" borderId="1" xfId="0" applyNumberFormat="1" applyFill="1" applyBorder="1"/>
    <xf numFmtId="0" fontId="37" fillId="29" borderId="0" xfId="0" applyFont="1" applyFill="1"/>
    <xf numFmtId="0" fontId="37" fillId="29" borderId="0" xfId="0" applyFont="1" applyFill="1" applyAlignment="1">
      <alignment wrapText="1"/>
    </xf>
    <xf numFmtId="14" fontId="4" fillId="0" borderId="0" xfId="0" applyNumberFormat="1" applyFont="1" applyAlignment="1">
      <alignment wrapText="1"/>
    </xf>
    <xf numFmtId="14" fontId="0" fillId="0" borderId="1" xfId="0" applyNumberFormat="1" applyBorder="1" applyAlignment="1">
      <alignment wrapText="1"/>
    </xf>
    <xf numFmtId="14" fontId="39" fillId="0" borderId="1" xfId="0" applyNumberFormat="1" applyFont="1" applyBorder="1" applyAlignment="1">
      <alignment wrapText="1"/>
    </xf>
    <xf numFmtId="2" fontId="0" fillId="28" borderId="1" xfId="0" applyNumberFormat="1" applyFill="1" applyBorder="1"/>
    <xf numFmtId="0" fontId="4" fillId="4" borderId="1" xfId="0" applyFont="1" applyFill="1" applyBorder="1"/>
    <xf numFmtId="0" fontId="0" fillId="4" borderId="2" xfId="0" applyFill="1" applyBorder="1" applyAlignment="1">
      <alignment wrapText="1"/>
    </xf>
    <xf numFmtId="0" fontId="40" fillId="0" borderId="0" xfId="0" applyFont="1"/>
    <xf numFmtId="0" fontId="41" fillId="28" borderId="1" xfId="0" applyFont="1" applyFill="1" applyBorder="1"/>
    <xf numFmtId="0" fontId="41" fillId="4" borderId="1" xfId="0" applyFont="1" applyFill="1" applyBorder="1"/>
    <xf numFmtId="2" fontId="4" fillId="0" borderId="1" xfId="0" applyNumberFormat="1" applyFont="1" applyBorder="1" applyAlignment="1">
      <alignment wrapText="1"/>
    </xf>
    <xf numFmtId="0" fontId="32" fillId="23" borderId="11" xfId="0" applyFont="1" applyFill="1" applyBorder="1" applyAlignment="1">
      <alignment horizontal="center" vertical="center"/>
    </xf>
    <xf numFmtId="0" fontId="32" fillId="23" borderId="10" xfId="0" applyFont="1" applyFill="1" applyBorder="1" applyAlignment="1">
      <alignment horizontal="center" vertical="center"/>
    </xf>
    <xf numFmtId="0" fontId="28" fillId="20" borderId="14" xfId="0" applyFont="1" applyFill="1" applyBorder="1" applyAlignment="1">
      <alignment horizontal="center"/>
    </xf>
    <xf numFmtId="0" fontId="28" fillId="20" borderId="15" xfId="0" applyFont="1" applyFill="1" applyBorder="1" applyAlignment="1">
      <alignment horizontal="center"/>
    </xf>
    <xf numFmtId="0" fontId="32" fillId="0" borderId="11" xfId="0" applyFont="1" applyBorder="1" applyAlignment="1">
      <alignment horizontal="center" vertical="center"/>
    </xf>
    <xf numFmtId="0" fontId="32" fillId="0" borderId="10" xfId="0" applyFont="1" applyBorder="1" applyAlignment="1">
      <alignment horizontal="center" vertical="center"/>
    </xf>
    <xf numFmtId="0" fontId="28" fillId="0" borderId="16" xfId="0" applyFont="1" applyBorder="1" applyAlignment="1">
      <alignment horizontal="center"/>
    </xf>
    <xf numFmtId="0" fontId="28" fillId="0" borderId="0" xfId="0" applyFont="1" applyAlignment="1">
      <alignment horizontal="center"/>
    </xf>
    <xf numFmtId="0" fontId="32" fillId="0" borderId="16" xfId="0" applyFont="1" applyBorder="1" applyAlignment="1">
      <alignment horizontal="center" vertical="center"/>
    </xf>
    <xf numFmtId="0" fontId="32" fillId="0" borderId="0" xfId="0" applyFont="1" applyAlignment="1">
      <alignment horizontal="center" vertical="center"/>
    </xf>
    <xf numFmtId="0" fontId="32" fillId="23" borderId="14" xfId="0" applyFont="1" applyFill="1" applyBorder="1" applyAlignment="1">
      <alignment horizontal="center" vertical="center"/>
    </xf>
    <xf numFmtId="0" fontId="32" fillId="23" borderId="15" xfId="0" applyFont="1" applyFill="1" applyBorder="1" applyAlignment="1">
      <alignment horizontal="center" vertical="center"/>
    </xf>
    <xf numFmtId="0" fontId="17" fillId="0" borderId="0" xfId="0" applyFont="1"/>
    <xf numFmtId="0" fontId="29" fillId="0" borderId="0" xfId="0" applyFont="1"/>
    <xf numFmtId="0" fontId="28" fillId="0" borderId="0" xfId="0" applyFont="1"/>
    <xf numFmtId="0" fontId="0" fillId="0" borderId="0" xfId="0" applyAlignment="1">
      <alignment vertical="top" wrapText="1"/>
    </xf>
  </cellXfs>
  <cellStyles count="4">
    <cellStyle name="Currency" xfId="3" builtinId="4"/>
    <cellStyle name="Hyperlink" xfId="2" builtinId="8"/>
    <cellStyle name="Normal" xfId="0" builtinId="0"/>
    <cellStyle name="Percent" xfId="1" builtinId="5"/>
  </cellStyles>
  <dxfs count="0"/>
  <tableStyles count="0" defaultTableStyle="TableStyleMedium2" defaultPivotStyle="PivotStyleLight16"/>
  <colors>
    <mruColors>
      <color rgb="FFCC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Numbers!$AF$239:$AF$240</c:f>
              <c:strCache>
                <c:ptCount val="2"/>
                <c:pt idx="0">
                  <c:v>August</c:v>
                </c:pt>
                <c:pt idx="1">
                  <c:v>On contract</c:v>
                </c:pt>
              </c:strCache>
            </c:strRef>
          </c:tx>
          <c:spPr>
            <a:solidFill>
              <a:schemeClr val="accent1"/>
            </a:solidFill>
            <a:ln>
              <a:noFill/>
            </a:ln>
            <a:effectLst/>
          </c:spPr>
          <c:invertIfNegative val="0"/>
          <c:cat>
            <c:strRef>
              <c:f>Numbers!$AE$241:$AE$256</c:f>
              <c:strCache>
                <c:ptCount val="16"/>
                <c:pt idx="0">
                  <c:v>Rebecca Morgan </c:v>
                </c:pt>
                <c:pt idx="1">
                  <c:v>Andrew Cheli</c:v>
                </c:pt>
                <c:pt idx="2">
                  <c:v>Amanda Rohweder</c:v>
                </c:pt>
                <c:pt idx="3">
                  <c:v>Peter Boyce</c:v>
                </c:pt>
                <c:pt idx="4">
                  <c:v>Samantha Anderson</c:v>
                </c:pt>
                <c:pt idx="5">
                  <c:v>Jemma Newman </c:v>
                </c:pt>
                <c:pt idx="6">
                  <c:v>Brittany Loveday</c:v>
                </c:pt>
                <c:pt idx="7">
                  <c:v>Jaymee McMillan</c:v>
                </c:pt>
                <c:pt idx="8">
                  <c:v>Brooke Fenton</c:v>
                </c:pt>
                <c:pt idx="9">
                  <c:v>Crystal Law</c:v>
                </c:pt>
                <c:pt idx="10">
                  <c:v>Katie McNamara</c:v>
                </c:pt>
                <c:pt idx="11">
                  <c:v>Kiara Milsom</c:v>
                </c:pt>
                <c:pt idx="12">
                  <c:v>Elise Cotterill</c:v>
                </c:pt>
                <c:pt idx="13">
                  <c:v>Lisa Morris </c:v>
                </c:pt>
                <c:pt idx="14">
                  <c:v>Josh + Haylee + Emma</c:v>
                </c:pt>
                <c:pt idx="15">
                  <c:v>Averages - August</c:v>
                </c:pt>
              </c:strCache>
            </c:strRef>
          </c:cat>
          <c:val>
            <c:numRef>
              <c:f>Numbers!$AF$241:$AF$256</c:f>
              <c:numCache>
                <c:formatCode>General</c:formatCode>
                <c:ptCount val="16"/>
                <c:pt idx="0">
                  <c:v>25</c:v>
                </c:pt>
                <c:pt idx="1">
                  <c:v>17.399999999999999</c:v>
                </c:pt>
                <c:pt idx="2">
                  <c:v>5.4</c:v>
                </c:pt>
                <c:pt idx="3">
                  <c:v>24.8</c:v>
                </c:pt>
                <c:pt idx="4">
                  <c:v>1.8</c:v>
                </c:pt>
                <c:pt idx="5">
                  <c:v>13.4</c:v>
                </c:pt>
                <c:pt idx="6">
                  <c:v>26.2</c:v>
                </c:pt>
                <c:pt idx="7">
                  <c:v>20</c:v>
                </c:pt>
                <c:pt idx="8">
                  <c:v>21</c:v>
                </c:pt>
                <c:pt idx="9">
                  <c:v>18.399999999999999</c:v>
                </c:pt>
                <c:pt idx="10">
                  <c:v>20.6</c:v>
                </c:pt>
                <c:pt idx="11">
                  <c:v>26.6</c:v>
                </c:pt>
                <c:pt idx="12">
                  <c:v>20.8</c:v>
                </c:pt>
                <c:pt idx="13">
                  <c:v>18.8</c:v>
                </c:pt>
                <c:pt idx="14">
                  <c:v>1.6</c:v>
                </c:pt>
                <c:pt idx="15" formatCode="0.00">
                  <c:v>17.453333333333333</c:v>
                </c:pt>
              </c:numCache>
            </c:numRef>
          </c:val>
          <c:extLst>
            <c:ext xmlns:c16="http://schemas.microsoft.com/office/drawing/2014/chart" uri="{C3380CC4-5D6E-409C-BE32-E72D297353CC}">
              <c16:uniqueId val="{00000000-380C-4F62-86B2-811727EB2F06}"/>
            </c:ext>
          </c:extLst>
        </c:ser>
        <c:ser>
          <c:idx val="1"/>
          <c:order val="1"/>
          <c:tx>
            <c:strRef>
              <c:f>Numbers!$AG$239:$AG$240</c:f>
              <c:strCache>
                <c:ptCount val="2"/>
                <c:pt idx="0">
                  <c:v>August</c:v>
                </c:pt>
                <c:pt idx="1">
                  <c:v>Net Change Weeks</c:v>
                </c:pt>
              </c:strCache>
            </c:strRef>
          </c:tx>
          <c:spPr>
            <a:solidFill>
              <a:schemeClr val="accent2"/>
            </a:solidFill>
            <a:ln>
              <a:noFill/>
            </a:ln>
            <a:effectLst/>
          </c:spPr>
          <c:invertIfNegative val="0"/>
          <c:cat>
            <c:strRef>
              <c:f>Numbers!$AE$241:$AE$256</c:f>
              <c:strCache>
                <c:ptCount val="16"/>
                <c:pt idx="0">
                  <c:v>Rebecca Morgan </c:v>
                </c:pt>
                <c:pt idx="1">
                  <c:v>Andrew Cheli</c:v>
                </c:pt>
                <c:pt idx="2">
                  <c:v>Amanda Rohweder</c:v>
                </c:pt>
                <c:pt idx="3">
                  <c:v>Peter Boyce</c:v>
                </c:pt>
                <c:pt idx="4">
                  <c:v>Samantha Anderson</c:v>
                </c:pt>
                <c:pt idx="5">
                  <c:v>Jemma Newman </c:v>
                </c:pt>
                <c:pt idx="6">
                  <c:v>Brittany Loveday</c:v>
                </c:pt>
                <c:pt idx="7">
                  <c:v>Jaymee McMillan</c:v>
                </c:pt>
                <c:pt idx="8">
                  <c:v>Brooke Fenton</c:v>
                </c:pt>
                <c:pt idx="9">
                  <c:v>Crystal Law</c:v>
                </c:pt>
                <c:pt idx="10">
                  <c:v>Katie McNamara</c:v>
                </c:pt>
                <c:pt idx="11">
                  <c:v>Kiara Milsom</c:v>
                </c:pt>
                <c:pt idx="12">
                  <c:v>Elise Cotterill</c:v>
                </c:pt>
                <c:pt idx="13">
                  <c:v>Lisa Morris </c:v>
                </c:pt>
                <c:pt idx="14">
                  <c:v>Josh + Haylee + Emma</c:v>
                </c:pt>
                <c:pt idx="15">
                  <c:v>Averages - August</c:v>
                </c:pt>
              </c:strCache>
            </c:strRef>
          </c:cat>
          <c:val>
            <c:numRef>
              <c:f>Numbers!$AG$241:$AG$256</c:f>
              <c:numCache>
                <c:formatCode>General</c:formatCode>
                <c:ptCount val="16"/>
                <c:pt idx="0">
                  <c:v>26.314</c:v>
                </c:pt>
                <c:pt idx="1">
                  <c:v>32.686</c:v>
                </c:pt>
                <c:pt idx="2">
                  <c:v>2.4279999999999999</c:v>
                </c:pt>
                <c:pt idx="3">
                  <c:v>22.830000000000002</c:v>
                </c:pt>
                <c:pt idx="4">
                  <c:v>0</c:v>
                </c:pt>
                <c:pt idx="5">
                  <c:v>15.228</c:v>
                </c:pt>
                <c:pt idx="6">
                  <c:v>29.457999999999998</c:v>
                </c:pt>
                <c:pt idx="7">
                  <c:v>17.856000000000002</c:v>
                </c:pt>
                <c:pt idx="8">
                  <c:v>22.198</c:v>
                </c:pt>
                <c:pt idx="9">
                  <c:v>16.655999999999999</c:v>
                </c:pt>
                <c:pt idx="10">
                  <c:v>22.855999999999998</c:v>
                </c:pt>
                <c:pt idx="11">
                  <c:v>29.314</c:v>
                </c:pt>
                <c:pt idx="12">
                  <c:v>24.771999999999998</c:v>
                </c:pt>
                <c:pt idx="13">
                  <c:v>15.974</c:v>
                </c:pt>
                <c:pt idx="15" formatCode="0.00">
                  <c:v>19.897857142857141</c:v>
                </c:pt>
              </c:numCache>
            </c:numRef>
          </c:val>
          <c:extLst>
            <c:ext xmlns:c16="http://schemas.microsoft.com/office/drawing/2014/chart" uri="{C3380CC4-5D6E-409C-BE32-E72D297353CC}">
              <c16:uniqueId val="{00000001-380C-4F62-86B2-811727EB2F06}"/>
            </c:ext>
          </c:extLst>
        </c:ser>
        <c:ser>
          <c:idx val="2"/>
          <c:order val="2"/>
          <c:tx>
            <c:strRef>
              <c:f>Numbers!$AH$239:$AH$240</c:f>
              <c:strCache>
                <c:ptCount val="2"/>
                <c:pt idx="0">
                  <c:v>August</c:v>
                </c:pt>
                <c:pt idx="1">
                  <c:v>Total Weeks</c:v>
                </c:pt>
              </c:strCache>
            </c:strRef>
          </c:tx>
          <c:spPr>
            <a:solidFill>
              <a:schemeClr val="accent3"/>
            </a:solidFill>
            <a:ln>
              <a:noFill/>
            </a:ln>
            <a:effectLst/>
          </c:spPr>
          <c:invertIfNegative val="0"/>
          <c:cat>
            <c:strRef>
              <c:f>Numbers!$AE$241:$AE$256</c:f>
              <c:strCache>
                <c:ptCount val="16"/>
                <c:pt idx="0">
                  <c:v>Rebecca Morgan </c:v>
                </c:pt>
                <c:pt idx="1">
                  <c:v>Andrew Cheli</c:v>
                </c:pt>
                <c:pt idx="2">
                  <c:v>Amanda Rohweder</c:v>
                </c:pt>
                <c:pt idx="3">
                  <c:v>Peter Boyce</c:v>
                </c:pt>
                <c:pt idx="4">
                  <c:v>Samantha Anderson</c:v>
                </c:pt>
                <c:pt idx="5">
                  <c:v>Jemma Newman </c:v>
                </c:pt>
                <c:pt idx="6">
                  <c:v>Brittany Loveday</c:v>
                </c:pt>
                <c:pt idx="7">
                  <c:v>Jaymee McMillan</c:v>
                </c:pt>
                <c:pt idx="8">
                  <c:v>Brooke Fenton</c:v>
                </c:pt>
                <c:pt idx="9">
                  <c:v>Crystal Law</c:v>
                </c:pt>
                <c:pt idx="10">
                  <c:v>Katie McNamara</c:v>
                </c:pt>
                <c:pt idx="11">
                  <c:v>Kiara Milsom</c:v>
                </c:pt>
                <c:pt idx="12">
                  <c:v>Elise Cotterill</c:v>
                </c:pt>
                <c:pt idx="13">
                  <c:v>Lisa Morris </c:v>
                </c:pt>
                <c:pt idx="14">
                  <c:v>Josh + Haylee + Emma</c:v>
                </c:pt>
                <c:pt idx="15">
                  <c:v>Averages - August</c:v>
                </c:pt>
              </c:strCache>
            </c:strRef>
          </c:cat>
          <c:val>
            <c:numRef>
              <c:f>Numbers!$AH$241:$AH$256</c:f>
              <c:numCache>
                <c:formatCode>General</c:formatCode>
                <c:ptCount val="16"/>
                <c:pt idx="0">
                  <c:v>243.02800000000002</c:v>
                </c:pt>
                <c:pt idx="1">
                  <c:v>179.82800000000003</c:v>
                </c:pt>
                <c:pt idx="2">
                  <c:v>20.568000000000001</c:v>
                </c:pt>
                <c:pt idx="3">
                  <c:v>176.172</c:v>
                </c:pt>
                <c:pt idx="4">
                  <c:v>27.660000000000004</c:v>
                </c:pt>
                <c:pt idx="5">
                  <c:v>101.828</c:v>
                </c:pt>
                <c:pt idx="6">
                  <c:v>230.96999999999997</c:v>
                </c:pt>
                <c:pt idx="7">
                  <c:v>174.05400000000003</c:v>
                </c:pt>
                <c:pt idx="8">
                  <c:v>192.8</c:v>
                </c:pt>
                <c:pt idx="9">
                  <c:v>139.54000000000002</c:v>
                </c:pt>
                <c:pt idx="10">
                  <c:v>164.77199999999999</c:v>
                </c:pt>
                <c:pt idx="11">
                  <c:v>196.286</c:v>
                </c:pt>
                <c:pt idx="12">
                  <c:v>217.96999999999997</c:v>
                </c:pt>
                <c:pt idx="13">
                  <c:v>164.62800000000001</c:v>
                </c:pt>
                <c:pt idx="15" formatCode="0.00">
                  <c:v>159.29314285714284</c:v>
                </c:pt>
              </c:numCache>
            </c:numRef>
          </c:val>
          <c:extLst>
            <c:ext xmlns:c16="http://schemas.microsoft.com/office/drawing/2014/chart" uri="{C3380CC4-5D6E-409C-BE32-E72D297353CC}">
              <c16:uniqueId val="{00000002-380C-4F62-86B2-811727EB2F06}"/>
            </c:ext>
          </c:extLst>
        </c:ser>
        <c:dLbls>
          <c:showLegendKey val="0"/>
          <c:showVal val="0"/>
          <c:showCatName val="0"/>
          <c:showSerName val="0"/>
          <c:showPercent val="0"/>
          <c:showBubbleSize val="0"/>
        </c:dLbls>
        <c:gapWidth val="219"/>
        <c:overlap val="-27"/>
        <c:axId val="207542784"/>
        <c:axId val="207541344"/>
      </c:barChart>
      <c:catAx>
        <c:axId val="207542784"/>
        <c:scaling>
          <c:orientation val="minMax"/>
        </c:scaling>
        <c:delete val="1"/>
        <c:axPos val="b"/>
        <c:numFmt formatCode="General" sourceLinked="1"/>
        <c:majorTickMark val="none"/>
        <c:minorTickMark val="none"/>
        <c:tickLblPos val="nextTo"/>
        <c:crossAx val="207541344"/>
        <c:crosses val="autoZero"/>
        <c:auto val="1"/>
        <c:lblAlgn val="ctr"/>
        <c:lblOffset val="100"/>
        <c:noMultiLvlLbl val="0"/>
      </c:catAx>
      <c:valAx>
        <c:axId val="20754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42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Consultant Numbers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Numbers!$AE$250</c:f>
              <c:strCache>
                <c:ptCount val="1"/>
                <c:pt idx="0">
                  <c:v>Crystal Law</c:v>
                </c:pt>
              </c:strCache>
            </c:strRef>
          </c:tx>
          <c:spPr>
            <a:solidFill>
              <a:schemeClr val="accent1"/>
            </a:solidFill>
            <a:ln>
              <a:noFill/>
            </a:ln>
            <a:effectLst/>
          </c:spPr>
          <c:invertIfNegative val="0"/>
          <c:cat>
            <c:strRef>
              <c:f>Numbers!$AF$240:$AH$240</c:f>
              <c:strCache>
                <c:ptCount val="3"/>
                <c:pt idx="0">
                  <c:v>On contract</c:v>
                </c:pt>
                <c:pt idx="1">
                  <c:v>Net Change Weeks</c:v>
                </c:pt>
                <c:pt idx="2">
                  <c:v>Total Weeks</c:v>
                </c:pt>
              </c:strCache>
            </c:strRef>
          </c:cat>
          <c:val>
            <c:numRef>
              <c:f>Numbers!$AF$250:$AH$250</c:f>
              <c:numCache>
                <c:formatCode>General</c:formatCode>
                <c:ptCount val="3"/>
                <c:pt idx="0">
                  <c:v>18.399999999999999</c:v>
                </c:pt>
                <c:pt idx="1">
                  <c:v>16.655999999999999</c:v>
                </c:pt>
                <c:pt idx="2">
                  <c:v>139.54000000000002</c:v>
                </c:pt>
              </c:numCache>
            </c:numRef>
          </c:val>
          <c:extLst>
            <c:ext xmlns:c16="http://schemas.microsoft.com/office/drawing/2014/chart" uri="{C3380CC4-5D6E-409C-BE32-E72D297353CC}">
              <c16:uniqueId val="{00000000-5BEB-4698-8FE4-ACAD28F9123F}"/>
            </c:ext>
          </c:extLst>
        </c:ser>
        <c:ser>
          <c:idx val="1"/>
          <c:order val="1"/>
          <c:tx>
            <c:strRef>
              <c:f>Numbers!$AE$251</c:f>
              <c:strCache>
                <c:ptCount val="1"/>
                <c:pt idx="0">
                  <c:v>Katie McNamara</c:v>
                </c:pt>
              </c:strCache>
            </c:strRef>
          </c:tx>
          <c:spPr>
            <a:solidFill>
              <a:schemeClr val="accent2"/>
            </a:solidFill>
            <a:ln>
              <a:noFill/>
            </a:ln>
            <a:effectLst/>
          </c:spPr>
          <c:invertIfNegative val="0"/>
          <c:cat>
            <c:strRef>
              <c:f>Numbers!$AF$240:$AH$240</c:f>
              <c:strCache>
                <c:ptCount val="3"/>
                <c:pt idx="0">
                  <c:v>On contract</c:v>
                </c:pt>
                <c:pt idx="1">
                  <c:v>Net Change Weeks</c:v>
                </c:pt>
                <c:pt idx="2">
                  <c:v>Total Weeks</c:v>
                </c:pt>
              </c:strCache>
            </c:strRef>
          </c:cat>
          <c:val>
            <c:numRef>
              <c:f>Numbers!$AF$251:$AH$251</c:f>
              <c:numCache>
                <c:formatCode>General</c:formatCode>
                <c:ptCount val="3"/>
                <c:pt idx="0">
                  <c:v>20.6</c:v>
                </c:pt>
                <c:pt idx="1">
                  <c:v>22.855999999999998</c:v>
                </c:pt>
                <c:pt idx="2">
                  <c:v>164.77199999999999</c:v>
                </c:pt>
              </c:numCache>
            </c:numRef>
          </c:val>
          <c:extLst>
            <c:ext xmlns:c16="http://schemas.microsoft.com/office/drawing/2014/chart" uri="{C3380CC4-5D6E-409C-BE32-E72D297353CC}">
              <c16:uniqueId val="{00000001-5BEB-4698-8FE4-ACAD28F9123F}"/>
            </c:ext>
          </c:extLst>
        </c:ser>
        <c:ser>
          <c:idx val="2"/>
          <c:order val="2"/>
          <c:tx>
            <c:strRef>
              <c:f>Numbers!$AE$252</c:f>
              <c:strCache>
                <c:ptCount val="1"/>
                <c:pt idx="0">
                  <c:v>Kiara Milsom</c:v>
                </c:pt>
              </c:strCache>
            </c:strRef>
          </c:tx>
          <c:spPr>
            <a:solidFill>
              <a:schemeClr val="accent3"/>
            </a:solidFill>
            <a:ln>
              <a:noFill/>
            </a:ln>
            <a:effectLst/>
          </c:spPr>
          <c:invertIfNegative val="0"/>
          <c:cat>
            <c:strRef>
              <c:f>Numbers!$AF$240:$AH$240</c:f>
              <c:strCache>
                <c:ptCount val="3"/>
                <c:pt idx="0">
                  <c:v>On contract</c:v>
                </c:pt>
                <c:pt idx="1">
                  <c:v>Net Change Weeks</c:v>
                </c:pt>
                <c:pt idx="2">
                  <c:v>Total Weeks</c:v>
                </c:pt>
              </c:strCache>
            </c:strRef>
          </c:cat>
          <c:val>
            <c:numRef>
              <c:f>Numbers!$AF$252:$AH$252</c:f>
              <c:numCache>
                <c:formatCode>General</c:formatCode>
                <c:ptCount val="3"/>
                <c:pt idx="0">
                  <c:v>26.6</c:v>
                </c:pt>
                <c:pt idx="1">
                  <c:v>29.314</c:v>
                </c:pt>
                <c:pt idx="2">
                  <c:v>196.286</c:v>
                </c:pt>
              </c:numCache>
            </c:numRef>
          </c:val>
          <c:extLst>
            <c:ext xmlns:c16="http://schemas.microsoft.com/office/drawing/2014/chart" uri="{C3380CC4-5D6E-409C-BE32-E72D297353CC}">
              <c16:uniqueId val="{00000002-5BEB-4698-8FE4-ACAD28F9123F}"/>
            </c:ext>
          </c:extLst>
        </c:ser>
        <c:ser>
          <c:idx val="3"/>
          <c:order val="3"/>
          <c:tx>
            <c:strRef>
              <c:f>Numbers!$AE$253</c:f>
              <c:strCache>
                <c:ptCount val="1"/>
                <c:pt idx="0">
                  <c:v>Elise Cotterill</c:v>
                </c:pt>
              </c:strCache>
            </c:strRef>
          </c:tx>
          <c:spPr>
            <a:solidFill>
              <a:schemeClr val="accent4"/>
            </a:solidFill>
            <a:ln>
              <a:noFill/>
            </a:ln>
            <a:effectLst/>
          </c:spPr>
          <c:invertIfNegative val="0"/>
          <c:cat>
            <c:strRef>
              <c:f>Numbers!$AF$240:$AH$240</c:f>
              <c:strCache>
                <c:ptCount val="3"/>
                <c:pt idx="0">
                  <c:v>On contract</c:v>
                </c:pt>
                <c:pt idx="1">
                  <c:v>Net Change Weeks</c:v>
                </c:pt>
                <c:pt idx="2">
                  <c:v>Total Weeks</c:v>
                </c:pt>
              </c:strCache>
            </c:strRef>
          </c:cat>
          <c:val>
            <c:numRef>
              <c:f>Numbers!$AF$253:$AH$253</c:f>
              <c:numCache>
                <c:formatCode>General</c:formatCode>
                <c:ptCount val="3"/>
                <c:pt idx="0">
                  <c:v>20.8</c:v>
                </c:pt>
                <c:pt idx="1">
                  <c:v>24.771999999999998</c:v>
                </c:pt>
                <c:pt idx="2">
                  <c:v>217.96999999999997</c:v>
                </c:pt>
              </c:numCache>
            </c:numRef>
          </c:val>
          <c:extLst>
            <c:ext xmlns:c16="http://schemas.microsoft.com/office/drawing/2014/chart" uri="{C3380CC4-5D6E-409C-BE32-E72D297353CC}">
              <c16:uniqueId val="{00000003-5BEB-4698-8FE4-ACAD28F9123F}"/>
            </c:ext>
          </c:extLst>
        </c:ser>
        <c:ser>
          <c:idx val="4"/>
          <c:order val="4"/>
          <c:tx>
            <c:strRef>
              <c:f>Numbers!$AE$254</c:f>
              <c:strCache>
                <c:ptCount val="1"/>
                <c:pt idx="0">
                  <c:v>Lisa Morris </c:v>
                </c:pt>
              </c:strCache>
            </c:strRef>
          </c:tx>
          <c:spPr>
            <a:solidFill>
              <a:schemeClr val="accent5"/>
            </a:solidFill>
            <a:ln>
              <a:noFill/>
            </a:ln>
            <a:effectLst/>
          </c:spPr>
          <c:invertIfNegative val="0"/>
          <c:cat>
            <c:strRef>
              <c:f>Numbers!$AF$240:$AH$240</c:f>
              <c:strCache>
                <c:ptCount val="3"/>
                <c:pt idx="0">
                  <c:v>On contract</c:v>
                </c:pt>
                <c:pt idx="1">
                  <c:v>Net Change Weeks</c:v>
                </c:pt>
                <c:pt idx="2">
                  <c:v>Total Weeks</c:v>
                </c:pt>
              </c:strCache>
            </c:strRef>
          </c:cat>
          <c:val>
            <c:numRef>
              <c:f>Numbers!$AF$254:$AH$254</c:f>
              <c:numCache>
                <c:formatCode>General</c:formatCode>
                <c:ptCount val="3"/>
                <c:pt idx="0">
                  <c:v>18.8</c:v>
                </c:pt>
                <c:pt idx="1">
                  <c:v>15.974</c:v>
                </c:pt>
                <c:pt idx="2">
                  <c:v>164.62800000000001</c:v>
                </c:pt>
              </c:numCache>
            </c:numRef>
          </c:val>
          <c:extLst>
            <c:ext xmlns:c16="http://schemas.microsoft.com/office/drawing/2014/chart" uri="{C3380CC4-5D6E-409C-BE32-E72D297353CC}">
              <c16:uniqueId val="{00000004-5BEB-4698-8FE4-ACAD28F9123F}"/>
            </c:ext>
          </c:extLst>
        </c:ser>
        <c:ser>
          <c:idx val="5"/>
          <c:order val="5"/>
          <c:tx>
            <c:strRef>
              <c:f>Numbers!$AE$256</c:f>
              <c:strCache>
                <c:ptCount val="1"/>
                <c:pt idx="0">
                  <c:v>Averages - August</c:v>
                </c:pt>
              </c:strCache>
            </c:strRef>
          </c:tx>
          <c:spPr>
            <a:solidFill>
              <a:schemeClr val="accent6"/>
            </a:solidFill>
            <a:ln>
              <a:noFill/>
            </a:ln>
            <a:effectLst/>
          </c:spPr>
          <c:invertIfNegative val="0"/>
          <c:cat>
            <c:strRef>
              <c:f>Numbers!$AF$240:$AH$240</c:f>
              <c:strCache>
                <c:ptCount val="3"/>
                <c:pt idx="0">
                  <c:v>On contract</c:v>
                </c:pt>
                <c:pt idx="1">
                  <c:v>Net Change Weeks</c:v>
                </c:pt>
                <c:pt idx="2">
                  <c:v>Total Weeks</c:v>
                </c:pt>
              </c:strCache>
            </c:strRef>
          </c:cat>
          <c:val>
            <c:numRef>
              <c:f>Numbers!$AF$256:$AH$256</c:f>
              <c:numCache>
                <c:formatCode>0.00</c:formatCode>
                <c:ptCount val="3"/>
                <c:pt idx="0">
                  <c:v>17.453333333333333</c:v>
                </c:pt>
                <c:pt idx="1">
                  <c:v>19.897857142857141</c:v>
                </c:pt>
                <c:pt idx="2">
                  <c:v>159.29314285714284</c:v>
                </c:pt>
              </c:numCache>
            </c:numRef>
          </c:val>
          <c:extLst>
            <c:ext xmlns:c16="http://schemas.microsoft.com/office/drawing/2014/chart" uri="{C3380CC4-5D6E-409C-BE32-E72D297353CC}">
              <c16:uniqueId val="{00000005-5BEB-4698-8FE4-ACAD28F9123F}"/>
            </c:ext>
          </c:extLst>
        </c:ser>
        <c:dLbls>
          <c:showLegendKey val="0"/>
          <c:showVal val="0"/>
          <c:showCatName val="0"/>
          <c:showSerName val="0"/>
          <c:showPercent val="0"/>
          <c:showBubbleSize val="0"/>
        </c:dLbls>
        <c:gapWidth val="219"/>
        <c:overlap val="-27"/>
        <c:axId val="782039263"/>
        <c:axId val="782040703"/>
      </c:barChart>
      <c:catAx>
        <c:axId val="78203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040703"/>
        <c:crosses val="autoZero"/>
        <c:auto val="1"/>
        <c:lblAlgn val="ctr"/>
        <c:lblOffset val="100"/>
        <c:noMultiLvlLbl val="0"/>
      </c:catAx>
      <c:valAx>
        <c:axId val="782040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039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56</xdr:col>
      <xdr:colOff>463262</xdr:colOff>
      <xdr:row>237</xdr:row>
      <xdr:rowOff>481878</xdr:rowOff>
    </xdr:from>
    <xdr:to>
      <xdr:col>69</xdr:col>
      <xdr:colOff>333376</xdr:colOff>
      <xdr:row>254</xdr:row>
      <xdr:rowOff>134216</xdr:rowOff>
    </xdr:to>
    <xdr:graphicFrame macro="">
      <xdr:nvGraphicFramePr>
        <xdr:cNvPr id="2" name="Chart 1">
          <a:extLst>
            <a:ext uri="{FF2B5EF4-FFF2-40B4-BE49-F238E27FC236}">
              <a16:creationId xmlns:a16="http://schemas.microsoft.com/office/drawing/2014/main" id="{84F44A80-6DC6-8F7F-5200-84BB0C6720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40</xdr:col>
      <xdr:colOff>419100</xdr:colOff>
      <xdr:row>237</xdr:row>
      <xdr:rowOff>528637</xdr:rowOff>
    </xdr:from>
    <xdr:to>
      <xdr:col>48</xdr:col>
      <xdr:colOff>114300</xdr:colOff>
      <xdr:row>248</xdr:row>
      <xdr:rowOff>33337</xdr:rowOff>
    </xdr:to>
    <xdr:graphicFrame macro="">
      <xdr:nvGraphicFramePr>
        <xdr:cNvPr id="5" name="Chart 4">
          <a:extLst>
            <a:ext uri="{FF2B5EF4-FFF2-40B4-BE49-F238E27FC236}">
              <a16:creationId xmlns:a16="http://schemas.microsoft.com/office/drawing/2014/main" id="{D3335997-3B3C-655A-F739-F7EA90B065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0.02141</cdr:x>
      <cdr:y>0.83814</cdr:y>
    </cdr:from>
    <cdr:to>
      <cdr:x>0.98186</cdr:x>
      <cdr:y>0.84319</cdr:y>
    </cdr:to>
    <cdr:cxnSp macro="">
      <cdr:nvCxnSpPr>
        <cdr:cNvPr id="3" name="Straight Connector 2">
          <a:extLst xmlns:a="http://schemas.openxmlformats.org/drawingml/2006/main">
            <a:ext uri="{FF2B5EF4-FFF2-40B4-BE49-F238E27FC236}">
              <a16:creationId xmlns:a16="http://schemas.microsoft.com/office/drawing/2014/main" id="{45D5ED0D-6D95-F173-9677-BB22CA98A4D2}"/>
            </a:ext>
          </a:extLst>
        </cdr:cNvPr>
        <cdr:cNvCxnSpPr/>
      </cdr:nvCxnSpPr>
      <cdr:spPr>
        <a:xfrm xmlns:a="http://schemas.openxmlformats.org/drawingml/2006/main" flipH="1">
          <a:off x="167023" y="3344952"/>
          <a:ext cx="7492554" cy="20123"/>
        </a:xfrm>
        <a:prstGeom xmlns:a="http://schemas.openxmlformats.org/drawingml/2006/main" prst="line">
          <a:avLst/>
        </a:prstGeom>
        <a:ln xmlns:a="http://schemas.openxmlformats.org/drawingml/2006/main">
          <a:solidFill>
            <a:srgbClr val="FF0000"/>
          </a:solidFill>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dr:relSizeAnchor xmlns:cdr="http://schemas.openxmlformats.org/drawingml/2006/chartDrawing">
    <cdr:from>
      <cdr:x>0.02313</cdr:x>
      <cdr:y>0.84823</cdr:y>
    </cdr:from>
    <cdr:to>
      <cdr:x>0.98874</cdr:x>
      <cdr:y>0.85495</cdr:y>
    </cdr:to>
    <cdr:cxnSp macro="">
      <cdr:nvCxnSpPr>
        <cdr:cNvPr id="6" name="Straight Connector 5">
          <a:extLst xmlns:a="http://schemas.openxmlformats.org/drawingml/2006/main">
            <a:ext uri="{FF2B5EF4-FFF2-40B4-BE49-F238E27FC236}">
              <a16:creationId xmlns:a16="http://schemas.microsoft.com/office/drawing/2014/main" id="{48D96A69-7071-7410-E802-EF6DB6C88FA6}"/>
            </a:ext>
          </a:extLst>
        </cdr:cNvPr>
        <cdr:cNvCxnSpPr/>
      </cdr:nvCxnSpPr>
      <cdr:spPr>
        <a:xfrm xmlns:a="http://schemas.openxmlformats.org/drawingml/2006/main" flipH="1">
          <a:off x="180439" y="3385198"/>
          <a:ext cx="7532799" cy="26831"/>
        </a:xfrm>
        <a:prstGeom xmlns:a="http://schemas.openxmlformats.org/drawingml/2006/main" prst="line">
          <a:avLst/>
        </a:prstGeom>
        <a:ln xmlns:a="http://schemas.openxmlformats.org/drawingml/2006/main">
          <a:solidFill>
            <a:srgbClr val="FFFF00"/>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0.04119</cdr:x>
      <cdr:y>0.48014</cdr:y>
    </cdr:from>
    <cdr:to>
      <cdr:x>0.98014</cdr:x>
      <cdr:y>0.48182</cdr:y>
    </cdr:to>
    <cdr:cxnSp macro="">
      <cdr:nvCxnSpPr>
        <cdr:cNvPr id="8" name="Straight Connector 7">
          <a:extLst xmlns:a="http://schemas.openxmlformats.org/drawingml/2006/main">
            <a:ext uri="{FF2B5EF4-FFF2-40B4-BE49-F238E27FC236}">
              <a16:creationId xmlns:a16="http://schemas.microsoft.com/office/drawing/2014/main" id="{F2BDF26E-D3D6-4CC5-76A9-28C6C93894E7}"/>
            </a:ext>
          </a:extLst>
        </cdr:cNvPr>
        <cdr:cNvCxnSpPr/>
      </cdr:nvCxnSpPr>
      <cdr:spPr>
        <a:xfrm xmlns:a="http://schemas.openxmlformats.org/drawingml/2006/main" flipH="1">
          <a:off x="321301" y="1916202"/>
          <a:ext cx="7324859" cy="6708"/>
        </a:xfrm>
        <a:prstGeom xmlns:a="http://schemas.openxmlformats.org/drawingml/2006/main" prst="line">
          <a:avLst/>
        </a:prstGeom>
        <a:ln xmlns:a="http://schemas.openxmlformats.org/drawingml/2006/main">
          <a:solidFill>
            <a:srgbClr val="FF0000"/>
          </a:solidFill>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8" Type="http://schemas.openxmlformats.org/officeDocument/2006/relationships/hyperlink" Target="mailto:raglansue@yahoo.co.uk" TargetMode="External"/><Relationship Id="rId13" Type="http://schemas.openxmlformats.org/officeDocument/2006/relationships/hyperlink" Target="mailto:crystajwatkinson@gmail.com" TargetMode="External"/><Relationship Id="rId18" Type="http://schemas.openxmlformats.org/officeDocument/2006/relationships/hyperlink" Target="mailto:mackenzie.pohatu@gmail.com" TargetMode="External"/><Relationship Id="rId26" Type="http://schemas.openxmlformats.org/officeDocument/2006/relationships/hyperlink" Target="mailto:henricksjr@iinet.net.au" TargetMode="External"/><Relationship Id="rId3" Type="http://schemas.openxmlformats.org/officeDocument/2006/relationships/hyperlink" Target="mailto:sandys1801@gmail.com" TargetMode="External"/><Relationship Id="rId21" Type="http://schemas.openxmlformats.org/officeDocument/2006/relationships/hyperlink" Target="mailto:michelle.scott1187@gmail.com" TargetMode="External"/><Relationship Id="rId7" Type="http://schemas.openxmlformats.org/officeDocument/2006/relationships/hyperlink" Target="mailto:samantha.mcintosh78@gmail.com" TargetMode="External"/><Relationship Id="rId12" Type="http://schemas.openxmlformats.org/officeDocument/2006/relationships/hyperlink" Target="mailto:pam_mansfield@live.com" TargetMode="External"/><Relationship Id="rId17" Type="http://schemas.openxmlformats.org/officeDocument/2006/relationships/hyperlink" Target="mailto:27.hannahbarnett@gmail.com" TargetMode="External"/><Relationship Id="rId25" Type="http://schemas.openxmlformats.org/officeDocument/2006/relationships/hyperlink" Target="mailto:serenavallieres@gmail.com" TargetMode="External"/><Relationship Id="rId2" Type="http://schemas.openxmlformats.org/officeDocument/2006/relationships/hyperlink" Target="mailto:Kaye.paradine41@gmail.com" TargetMode="External"/><Relationship Id="rId16" Type="http://schemas.openxmlformats.org/officeDocument/2006/relationships/hyperlink" Target="mailto:hollyloye4@gmail.com" TargetMode="External"/><Relationship Id="rId20" Type="http://schemas.openxmlformats.org/officeDocument/2006/relationships/hyperlink" Target="mailto:april.alexandra.kane@gmail.com" TargetMode="External"/><Relationship Id="rId1" Type="http://schemas.openxmlformats.org/officeDocument/2006/relationships/hyperlink" Target="mailto:smithydem922@gmail.com" TargetMode="External"/><Relationship Id="rId6" Type="http://schemas.openxmlformats.org/officeDocument/2006/relationships/hyperlink" Target="mailto:murphykathleen4@gmail.com" TargetMode="External"/><Relationship Id="rId11" Type="http://schemas.openxmlformats.org/officeDocument/2006/relationships/hyperlink" Target="mailto:JLKAUIKA@GMAIL.COM" TargetMode="External"/><Relationship Id="rId24" Type="http://schemas.openxmlformats.org/officeDocument/2006/relationships/hyperlink" Target="mailto:chelsealorraway.17@gmail.com" TargetMode="External"/><Relationship Id="rId5" Type="http://schemas.openxmlformats.org/officeDocument/2006/relationships/hyperlink" Target="mailto:bronrofe@rocketmail.com" TargetMode="External"/><Relationship Id="rId15" Type="http://schemas.openxmlformats.org/officeDocument/2006/relationships/hyperlink" Target="mailto:catherinecinjee@gmail.com" TargetMode="External"/><Relationship Id="rId23" Type="http://schemas.openxmlformats.org/officeDocument/2006/relationships/hyperlink" Target="mailto:kendall.g11@live.com" TargetMode="External"/><Relationship Id="rId10" Type="http://schemas.openxmlformats.org/officeDocument/2006/relationships/hyperlink" Target="mailto:kendal_arney@outlook.co.nz" TargetMode="External"/><Relationship Id="rId19" Type="http://schemas.openxmlformats.org/officeDocument/2006/relationships/hyperlink" Target="mailto:hannahtemplar99@gmail.com" TargetMode="External"/><Relationship Id="rId4" Type="http://schemas.openxmlformats.org/officeDocument/2006/relationships/hyperlink" Target="mailto:emikobaker@gmail.com" TargetMode="External"/><Relationship Id="rId9" Type="http://schemas.openxmlformats.org/officeDocument/2006/relationships/hyperlink" Target="mailto:carlannegalaceviana@gmail.com" TargetMode="External"/><Relationship Id="rId14" Type="http://schemas.openxmlformats.org/officeDocument/2006/relationships/hyperlink" Target="mailto:sandieh004@gmail.com" TargetMode="External"/><Relationship Id="rId22" Type="http://schemas.openxmlformats.org/officeDocument/2006/relationships/hyperlink" Target="mailto:matthewclay5@gmail.com" TargetMode="External"/><Relationship Id="rId27" Type="http://schemas.openxmlformats.org/officeDocument/2006/relationships/hyperlink" Target="mailto:hayleybowell@hotmail.com"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emmanueltanzuaco@gmail.com" TargetMode="External"/><Relationship Id="rId3" Type="http://schemas.openxmlformats.org/officeDocument/2006/relationships/hyperlink" Target="mailto:alicia.wells1999@live.com.au" TargetMode="External"/><Relationship Id="rId7" Type="http://schemas.openxmlformats.org/officeDocument/2006/relationships/hyperlink" Target="mailto:livvyhough@gmail.com" TargetMode="External"/><Relationship Id="rId2" Type="http://schemas.openxmlformats.org/officeDocument/2006/relationships/hyperlink" Target="mailto:oliviagibbons.94@gmail.com" TargetMode="External"/><Relationship Id="rId1" Type="http://schemas.openxmlformats.org/officeDocument/2006/relationships/hyperlink" Target="mailto:suzieq0315@gmail.com" TargetMode="External"/><Relationship Id="rId6" Type="http://schemas.openxmlformats.org/officeDocument/2006/relationships/hyperlink" Target="mailto:jasminewright9799@gmail.com" TargetMode="External"/><Relationship Id="rId5" Type="http://schemas.openxmlformats.org/officeDocument/2006/relationships/hyperlink" Target="mailto:courtney.jbateman@gmail.com" TargetMode="External"/><Relationship Id="rId4" Type="http://schemas.openxmlformats.org/officeDocument/2006/relationships/hyperlink" Target="mailto:mitch.oreilly@hotmail.com" TargetMode="External"/><Relationship Id="rId9" Type="http://schemas.openxmlformats.org/officeDocument/2006/relationships/hyperlink" Target="mailto:rebekahzaramarshall@icloud.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C1783-1A56-492B-B8B1-3DAF9811BF82}">
  <dimension ref="A1:AP476"/>
  <sheetViews>
    <sheetView topLeftCell="A428" zoomScaleNormal="100" workbookViewId="0">
      <selection activeCell="A472" sqref="A472"/>
    </sheetView>
  </sheetViews>
  <sheetFormatPr defaultRowHeight="15" x14ac:dyDescent="0.25"/>
  <cols>
    <col min="1" max="1" width="27.42578125" customWidth="1"/>
    <col min="2" max="2" width="4.42578125" customWidth="1"/>
    <col min="3" max="3" width="11.28515625" style="9" bestFit="1" customWidth="1"/>
    <col min="4" max="4" width="11.42578125" style="9" bestFit="1" customWidth="1"/>
    <col min="5" max="5" width="11.5703125" style="9" bestFit="1" customWidth="1"/>
    <col min="6" max="6" width="1.42578125" customWidth="1"/>
    <col min="7" max="7" width="27.42578125" bestFit="1" customWidth="1"/>
    <col min="8" max="8" width="8.28515625" bestFit="1" customWidth="1"/>
    <col min="9" max="9" width="11.42578125" bestFit="1" customWidth="1"/>
    <col min="10" max="10" width="8.28515625" bestFit="1" customWidth="1"/>
    <col min="11" max="11" width="10.85546875" customWidth="1"/>
    <col min="12" max="12" width="6.28515625" customWidth="1"/>
    <col min="13" max="13" width="27.42578125" bestFit="1" customWidth="1"/>
    <col min="14" max="14" width="8.28515625" bestFit="1" customWidth="1"/>
    <col min="15" max="15" width="8" bestFit="1" customWidth="1"/>
    <col min="16" max="16" width="8.28515625" bestFit="1" customWidth="1"/>
    <col min="17" max="18" width="11.28515625" customWidth="1"/>
    <col min="19" max="19" width="27.42578125" bestFit="1" customWidth="1"/>
    <col min="20" max="20" width="8.28515625" bestFit="1" customWidth="1"/>
    <col min="21" max="21" width="8" bestFit="1" customWidth="1"/>
    <col min="22" max="22" width="11.5703125" bestFit="1" customWidth="1"/>
    <col min="23" max="23" width="16" customWidth="1"/>
    <col min="24" max="24" width="27.42578125" bestFit="1" customWidth="1"/>
    <col min="25" max="25" width="26" bestFit="1" customWidth="1"/>
    <col min="26" max="26" width="14.140625" customWidth="1"/>
    <col min="27" max="27" width="16.85546875" customWidth="1"/>
    <col min="28" max="28" width="13.28515625" customWidth="1"/>
    <col min="29" max="29" width="22.140625" bestFit="1" customWidth="1"/>
    <col min="31" max="31" width="22.140625" bestFit="1" customWidth="1"/>
    <col min="32" max="32" width="11.85546875" bestFit="1" customWidth="1"/>
    <col min="33" max="33" width="13.5703125" customWidth="1"/>
    <col min="34" max="34" width="11.5703125" bestFit="1" customWidth="1"/>
    <col min="36" max="36" width="19.140625" bestFit="1" customWidth="1"/>
  </cols>
  <sheetData>
    <row r="1" spans="1:10" ht="18.75" x14ac:dyDescent="0.3">
      <c r="A1" s="4" t="s">
        <v>24</v>
      </c>
      <c r="B1" s="4"/>
      <c r="G1" s="69" t="s">
        <v>25</v>
      </c>
      <c r="H1" s="10"/>
      <c r="I1" s="10"/>
      <c r="J1" s="10"/>
    </row>
    <row r="2" spans="1:10" ht="30" x14ac:dyDescent="0.25">
      <c r="A2" s="84">
        <v>45613</v>
      </c>
      <c r="B2" s="2"/>
      <c r="C2" s="7" t="s">
        <v>26</v>
      </c>
      <c r="D2" s="7" t="s">
        <v>27</v>
      </c>
      <c r="E2" s="7" t="s">
        <v>28</v>
      </c>
      <c r="G2" s="115">
        <v>45620</v>
      </c>
      <c r="H2" s="71" t="s">
        <v>26</v>
      </c>
      <c r="I2" s="71" t="s">
        <v>27</v>
      </c>
      <c r="J2" s="71" t="s">
        <v>28</v>
      </c>
    </row>
    <row r="3" spans="1:10" x14ac:dyDescent="0.25">
      <c r="A3" s="74" t="s">
        <v>29</v>
      </c>
      <c r="B3" s="74"/>
      <c r="C3" s="24">
        <v>53</v>
      </c>
      <c r="D3" s="24">
        <v>39.29</v>
      </c>
      <c r="E3" s="24">
        <v>449.86</v>
      </c>
      <c r="G3" s="74" t="s">
        <v>29</v>
      </c>
      <c r="H3" s="24">
        <v>54</v>
      </c>
      <c r="I3" s="24">
        <v>27.71</v>
      </c>
      <c r="J3" s="24">
        <v>377.14</v>
      </c>
    </row>
    <row r="4" spans="1:10" x14ac:dyDescent="0.25">
      <c r="A4" s="74" t="s">
        <v>30</v>
      </c>
      <c r="B4" s="74"/>
      <c r="C4" s="24">
        <v>0</v>
      </c>
      <c r="D4" s="24">
        <v>16.14</v>
      </c>
      <c r="E4" s="24">
        <v>16.14</v>
      </c>
      <c r="G4" s="74" t="s">
        <v>30</v>
      </c>
      <c r="H4" s="24">
        <v>1</v>
      </c>
      <c r="I4" s="24">
        <v>14</v>
      </c>
      <c r="J4" s="24">
        <v>38.14</v>
      </c>
    </row>
    <row r="5" spans="1:10" x14ac:dyDescent="0.25">
      <c r="A5" s="74" t="s">
        <v>31</v>
      </c>
      <c r="B5" s="74"/>
      <c r="C5" s="24">
        <v>25</v>
      </c>
      <c r="D5" s="24">
        <v>12.57</v>
      </c>
      <c r="E5" s="24">
        <v>360.86</v>
      </c>
      <c r="G5" s="74" t="s">
        <v>31</v>
      </c>
      <c r="H5" s="24">
        <v>27</v>
      </c>
      <c r="I5" s="24">
        <v>10.57</v>
      </c>
      <c r="J5" s="24">
        <v>321.86</v>
      </c>
    </row>
    <row r="6" spans="1:10" x14ac:dyDescent="0.25">
      <c r="A6" s="74" t="s">
        <v>32</v>
      </c>
      <c r="B6" s="74"/>
      <c r="C6" s="24">
        <v>29</v>
      </c>
      <c r="D6" s="24">
        <v>5</v>
      </c>
      <c r="E6" s="24">
        <v>235.29</v>
      </c>
      <c r="G6" s="74" t="s">
        <v>32</v>
      </c>
      <c r="H6" s="24">
        <v>32</v>
      </c>
      <c r="I6" s="24">
        <v>7.57</v>
      </c>
      <c r="J6" s="24">
        <v>188</v>
      </c>
    </row>
    <row r="7" spans="1:10" x14ac:dyDescent="0.25">
      <c r="A7" s="74" t="s">
        <v>33</v>
      </c>
      <c r="B7" s="74"/>
      <c r="C7" s="24">
        <v>22</v>
      </c>
      <c r="D7" s="24">
        <v>26.57</v>
      </c>
      <c r="E7" s="24">
        <v>201.71</v>
      </c>
      <c r="G7" s="74" t="s">
        <v>34</v>
      </c>
      <c r="H7" s="24">
        <v>14</v>
      </c>
      <c r="I7" s="24">
        <v>-2.29</v>
      </c>
      <c r="J7" s="24">
        <v>103.86</v>
      </c>
    </row>
    <row r="8" spans="1:10" x14ac:dyDescent="0.25">
      <c r="A8" s="74" t="s">
        <v>34</v>
      </c>
      <c r="B8" s="74"/>
      <c r="C8" s="24">
        <v>17</v>
      </c>
      <c r="D8" s="24">
        <v>0</v>
      </c>
      <c r="E8" s="24">
        <v>132.71</v>
      </c>
      <c r="G8" s="74" t="s">
        <v>35</v>
      </c>
      <c r="H8" s="24">
        <v>30</v>
      </c>
      <c r="I8" s="24">
        <v>9.14</v>
      </c>
      <c r="J8" s="24">
        <v>203.86</v>
      </c>
    </row>
    <row r="9" spans="1:10" x14ac:dyDescent="0.25">
      <c r="A9" s="74" t="s">
        <v>35</v>
      </c>
      <c r="B9" s="74"/>
      <c r="C9" s="24">
        <v>28</v>
      </c>
      <c r="D9" s="24">
        <v>-1.1399999999999999</v>
      </c>
      <c r="E9" s="24">
        <v>245.86</v>
      </c>
      <c r="G9" s="74" t="s">
        <v>33</v>
      </c>
      <c r="H9" s="24">
        <v>22</v>
      </c>
      <c r="I9" s="24">
        <v>18.14</v>
      </c>
      <c r="J9" s="24">
        <v>180</v>
      </c>
    </row>
    <row r="10" spans="1:10" x14ac:dyDescent="0.25">
      <c r="A10" s="27" t="s">
        <v>13</v>
      </c>
      <c r="B10" s="27"/>
      <c r="C10" s="28">
        <v>24</v>
      </c>
      <c r="D10" s="28">
        <v>35.14</v>
      </c>
      <c r="E10" s="28">
        <v>186</v>
      </c>
      <c r="G10" s="27" t="s">
        <v>13</v>
      </c>
      <c r="H10" s="28">
        <v>24</v>
      </c>
      <c r="I10" s="28">
        <v>28.71</v>
      </c>
      <c r="J10" s="28">
        <v>168.43</v>
      </c>
    </row>
    <row r="11" spans="1:10" x14ac:dyDescent="0.25">
      <c r="A11" s="27" t="s">
        <v>36</v>
      </c>
      <c r="B11" s="27"/>
      <c r="C11" s="28">
        <v>0</v>
      </c>
      <c r="D11" s="28">
        <v>27.29</v>
      </c>
      <c r="E11" s="28">
        <v>60.71</v>
      </c>
      <c r="G11" s="27" t="s">
        <v>36</v>
      </c>
      <c r="H11" s="28">
        <v>2</v>
      </c>
      <c r="I11" s="28">
        <v>0</v>
      </c>
      <c r="J11" s="28">
        <v>63.71</v>
      </c>
    </row>
    <row r="12" spans="1:10" x14ac:dyDescent="0.25">
      <c r="A12" s="27" t="s">
        <v>37</v>
      </c>
      <c r="B12" s="27"/>
      <c r="C12" s="28">
        <v>32</v>
      </c>
      <c r="D12" s="28">
        <v>26.14</v>
      </c>
      <c r="E12" s="28">
        <v>357.71</v>
      </c>
      <c r="G12" s="27" t="s">
        <v>37</v>
      </c>
      <c r="H12" s="28">
        <v>33</v>
      </c>
      <c r="I12" s="28">
        <v>16.29</v>
      </c>
      <c r="J12" s="28">
        <v>307.14</v>
      </c>
    </row>
    <row r="13" spans="1:10" x14ac:dyDescent="0.25">
      <c r="A13" s="27" t="s">
        <v>11</v>
      </c>
      <c r="B13" s="27"/>
      <c r="C13" s="28">
        <v>44</v>
      </c>
      <c r="D13" s="28">
        <v>24.71</v>
      </c>
      <c r="E13" s="28">
        <v>428.86</v>
      </c>
      <c r="G13" s="27" t="s">
        <v>11</v>
      </c>
      <c r="H13" s="28">
        <v>50</v>
      </c>
      <c r="I13" s="28">
        <v>2</v>
      </c>
      <c r="J13" s="28">
        <v>344.14</v>
      </c>
    </row>
    <row r="14" spans="1:10" x14ac:dyDescent="0.25">
      <c r="A14" s="27" t="s">
        <v>9</v>
      </c>
      <c r="B14" s="27"/>
      <c r="C14" s="28">
        <v>38</v>
      </c>
      <c r="D14" s="28">
        <v>23.71</v>
      </c>
      <c r="E14" s="28">
        <v>395.14</v>
      </c>
      <c r="G14" s="27" t="s">
        <v>9</v>
      </c>
      <c r="H14" s="28">
        <v>41</v>
      </c>
      <c r="I14" s="28">
        <v>28.43</v>
      </c>
      <c r="J14" s="28">
        <v>345.71</v>
      </c>
    </row>
    <row r="15" spans="1:10" x14ac:dyDescent="0.25">
      <c r="A15" s="27" t="s">
        <v>12</v>
      </c>
      <c r="B15" s="27"/>
      <c r="C15" s="28">
        <v>24</v>
      </c>
      <c r="D15" s="28">
        <v>19.14</v>
      </c>
      <c r="E15" s="28">
        <v>225.14</v>
      </c>
      <c r="G15" s="27" t="s">
        <v>12</v>
      </c>
      <c r="H15" s="28">
        <v>25</v>
      </c>
      <c r="I15" s="28">
        <v>32.57</v>
      </c>
      <c r="J15" s="28">
        <v>214.43</v>
      </c>
    </row>
    <row r="16" spans="1:10" x14ac:dyDescent="0.25">
      <c r="A16" s="27" t="s">
        <v>10</v>
      </c>
      <c r="B16" s="27"/>
      <c r="C16" s="28">
        <v>31</v>
      </c>
      <c r="D16" s="28">
        <v>14.43</v>
      </c>
      <c r="E16" s="28">
        <v>296.86</v>
      </c>
      <c r="G16" s="27" t="s">
        <v>10</v>
      </c>
      <c r="H16" s="28">
        <v>30</v>
      </c>
      <c r="I16" s="28">
        <v>6</v>
      </c>
      <c r="J16" s="28">
        <v>246.71</v>
      </c>
    </row>
    <row r="17" spans="1:32" x14ac:dyDescent="0.25">
      <c r="A17" s="2" t="s">
        <v>38</v>
      </c>
      <c r="B17" s="2"/>
      <c r="C17" s="7">
        <v>34</v>
      </c>
      <c r="D17" s="7">
        <v>4</v>
      </c>
      <c r="E17" s="7">
        <v>237.43</v>
      </c>
      <c r="G17" s="2" t="s">
        <v>38</v>
      </c>
      <c r="H17" s="7">
        <v>36</v>
      </c>
      <c r="I17" s="7">
        <v>6</v>
      </c>
      <c r="J17" s="7">
        <v>170.14</v>
      </c>
    </row>
    <row r="18" spans="1:32" x14ac:dyDescent="0.25">
      <c r="A18" s="72" t="s">
        <v>39</v>
      </c>
      <c r="B18" s="6"/>
      <c r="C18" s="8">
        <f>SUM(C3:C17)</f>
        <v>401</v>
      </c>
      <c r="D18" s="8">
        <f>SUM(D3:D17)</f>
        <v>272.99</v>
      </c>
      <c r="E18" s="8">
        <f>SUM(E3:E17)</f>
        <v>3830.28</v>
      </c>
      <c r="G18" s="72" t="s">
        <v>39</v>
      </c>
      <c r="H18" s="8">
        <f>SUM(H3:H17)</f>
        <v>421</v>
      </c>
      <c r="I18" s="8">
        <f>SUM(I3:I17)</f>
        <v>204.84</v>
      </c>
      <c r="J18" s="8">
        <f>SUM(J3:J17)</f>
        <v>3273.27</v>
      </c>
    </row>
    <row r="19" spans="1:32" x14ac:dyDescent="0.25">
      <c r="A19" s="72">
        <v>1</v>
      </c>
      <c r="B19" s="6"/>
      <c r="C19" s="30">
        <f>SUM(C3:C9)</f>
        <v>174</v>
      </c>
      <c r="D19" s="30">
        <f>SUM(D3:D9)</f>
        <v>98.429999999999993</v>
      </c>
      <c r="E19" s="30">
        <f>SUM(E3:E9)</f>
        <v>1642.4300000000003</v>
      </c>
      <c r="G19" s="72">
        <v>1</v>
      </c>
      <c r="H19" s="30">
        <f>SUM(H3:H9)</f>
        <v>180</v>
      </c>
      <c r="I19" s="30">
        <f>SUM(I3:I9)</f>
        <v>84.84</v>
      </c>
      <c r="J19" s="30">
        <f>SUM(J3:J9)</f>
        <v>1412.8600000000001</v>
      </c>
    </row>
    <row r="20" spans="1:32" x14ac:dyDescent="0.25">
      <c r="A20" s="72">
        <v>2</v>
      </c>
      <c r="B20" s="6"/>
      <c r="C20" s="29">
        <f>SUM(C10:C16)</f>
        <v>193</v>
      </c>
      <c r="D20" s="29">
        <f>SUM(D10:D16)</f>
        <v>170.56</v>
      </c>
      <c r="E20" s="29">
        <f>SUM(E10:E16)</f>
        <v>1950.42</v>
      </c>
      <c r="G20" s="72">
        <v>2</v>
      </c>
      <c r="H20" s="29">
        <f>SUM(H10:H16)</f>
        <v>205</v>
      </c>
      <c r="I20" s="29">
        <f>SUM(I10:I16)</f>
        <v>114</v>
      </c>
      <c r="J20" s="29">
        <f>SUM(J10:J16)</f>
        <v>1690.27</v>
      </c>
    </row>
    <row r="21" spans="1:32" x14ac:dyDescent="0.25">
      <c r="A21" s="72"/>
      <c r="B21" s="6"/>
      <c r="C21" s="9">
        <f>SUM(C20-C19)</f>
        <v>19</v>
      </c>
      <c r="D21" s="9">
        <f t="shared" ref="D21:E21" si="0">SUM(D20-D19)</f>
        <v>72.13000000000001</v>
      </c>
      <c r="E21" s="9">
        <f t="shared" si="0"/>
        <v>307.98999999999978</v>
      </c>
      <c r="F21" s="9"/>
      <c r="G21" s="9"/>
      <c r="H21" s="9">
        <f t="shared" ref="H21" si="1">SUM(H20-H19)</f>
        <v>25</v>
      </c>
      <c r="I21" s="9">
        <f t="shared" ref="I21" si="2">SUM(I20-I19)</f>
        <v>29.159999999999997</v>
      </c>
      <c r="J21" s="9">
        <f t="shared" ref="J21" si="3">SUM(J20-J19)</f>
        <v>277.40999999999985</v>
      </c>
    </row>
    <row r="22" spans="1:32" x14ac:dyDescent="0.25">
      <c r="A22" s="72" t="s">
        <v>40</v>
      </c>
      <c r="B22" s="6"/>
      <c r="C22" s="8">
        <v>490</v>
      </c>
      <c r="D22" s="8">
        <v>274.70999999999998</v>
      </c>
      <c r="E22" s="8">
        <v>4596</v>
      </c>
      <c r="G22" s="72" t="s">
        <v>40</v>
      </c>
      <c r="H22" s="8">
        <v>513</v>
      </c>
      <c r="I22" s="8">
        <v>231.14</v>
      </c>
      <c r="J22" s="8">
        <v>3879.71</v>
      </c>
    </row>
    <row r="23" spans="1:32" x14ac:dyDescent="0.25">
      <c r="A23" s="72" t="s">
        <v>41</v>
      </c>
      <c r="B23" s="6"/>
      <c r="C23" s="12">
        <f>C22-C18</f>
        <v>89</v>
      </c>
      <c r="D23" s="12">
        <f>D22-D18</f>
        <v>1.7199999999999704</v>
      </c>
      <c r="E23" s="12">
        <f>E22-E18</f>
        <v>765.7199999999998</v>
      </c>
      <c r="G23" s="72" t="s">
        <v>41</v>
      </c>
      <c r="H23" s="12">
        <f>H22-H18</f>
        <v>92</v>
      </c>
      <c r="I23" s="12">
        <f>I22-I18</f>
        <v>26.299999999999983</v>
      </c>
      <c r="J23" s="12">
        <f>J22-J18</f>
        <v>606.44000000000005</v>
      </c>
    </row>
    <row r="24" spans="1:32" x14ac:dyDescent="0.25">
      <c r="A24" s="73"/>
    </row>
    <row r="26" spans="1:32" ht="18.75" x14ac:dyDescent="0.3">
      <c r="A26" s="69" t="s">
        <v>42</v>
      </c>
      <c r="B26" s="4"/>
      <c r="C26" s="10"/>
      <c r="D26" s="10" t="s">
        <v>43</v>
      </c>
      <c r="E26" s="10"/>
      <c r="G26" s="69" t="s">
        <v>44</v>
      </c>
      <c r="H26" s="10"/>
      <c r="I26" s="10"/>
      <c r="J26" s="10"/>
      <c r="M26" s="69" t="s">
        <v>45</v>
      </c>
      <c r="N26" s="10"/>
      <c r="O26" s="10"/>
      <c r="P26" s="10"/>
      <c r="S26" s="69" t="s">
        <v>46</v>
      </c>
      <c r="T26" s="10"/>
      <c r="U26" s="10"/>
      <c r="V26" s="10"/>
      <c r="X26" s="69" t="s">
        <v>47</v>
      </c>
      <c r="Y26" s="10"/>
      <c r="Z26" s="10"/>
      <c r="AA26" s="10"/>
    </row>
    <row r="27" spans="1:32" ht="45" x14ac:dyDescent="0.25">
      <c r="A27" s="70"/>
      <c r="B27" s="70"/>
      <c r="C27" s="71" t="s">
        <v>26</v>
      </c>
      <c r="D27" s="71" t="s">
        <v>27</v>
      </c>
      <c r="E27" s="71" t="s">
        <v>28</v>
      </c>
      <c r="G27" s="70"/>
      <c r="H27" s="71" t="s">
        <v>26</v>
      </c>
      <c r="I27" s="71" t="s">
        <v>27</v>
      </c>
      <c r="J27" s="71" t="s">
        <v>28</v>
      </c>
      <c r="M27" s="70"/>
      <c r="N27" s="71" t="s">
        <v>26</v>
      </c>
      <c r="O27" s="71" t="s">
        <v>27</v>
      </c>
      <c r="P27" s="71" t="s">
        <v>28</v>
      </c>
      <c r="S27" s="70"/>
      <c r="T27" s="71" t="s">
        <v>26</v>
      </c>
      <c r="U27" s="71" t="s">
        <v>27</v>
      </c>
      <c r="V27" s="71" t="s">
        <v>28</v>
      </c>
      <c r="X27" s="70"/>
      <c r="Y27" s="71" t="s">
        <v>26</v>
      </c>
      <c r="Z27" s="71" t="s">
        <v>27</v>
      </c>
      <c r="AA27" s="71" t="s">
        <v>28</v>
      </c>
      <c r="AC27" s="124" t="s">
        <v>685</v>
      </c>
      <c r="AE27" s="71" t="s">
        <v>26</v>
      </c>
      <c r="AF27" s="71" t="s">
        <v>28</v>
      </c>
    </row>
    <row r="28" spans="1:32" x14ac:dyDescent="0.25">
      <c r="A28" s="74" t="s">
        <v>29</v>
      </c>
      <c r="B28" s="74"/>
      <c r="C28" s="24">
        <v>49</v>
      </c>
      <c r="D28" s="24">
        <v>19.29</v>
      </c>
      <c r="E28" s="24">
        <v>350.43</v>
      </c>
      <c r="G28" s="74" t="s">
        <v>29</v>
      </c>
      <c r="H28" s="24">
        <v>47</v>
      </c>
      <c r="I28" s="24">
        <v>49.86</v>
      </c>
      <c r="J28" s="24">
        <v>354.86</v>
      </c>
      <c r="M28" s="74" t="s">
        <v>29</v>
      </c>
      <c r="N28" s="24">
        <v>39</v>
      </c>
      <c r="O28" s="24">
        <v>21.57</v>
      </c>
      <c r="P28" s="24">
        <v>369</v>
      </c>
      <c r="S28" s="74" t="s">
        <v>29</v>
      </c>
      <c r="T28" s="24">
        <v>38</v>
      </c>
      <c r="U28" s="24">
        <v>7.71</v>
      </c>
      <c r="V28" s="24">
        <v>308</v>
      </c>
      <c r="X28" s="74" t="s">
        <v>29</v>
      </c>
      <c r="Y28" s="24">
        <v>32</v>
      </c>
      <c r="Z28" s="24">
        <v>45.57</v>
      </c>
      <c r="AA28" s="24">
        <v>321.57</v>
      </c>
      <c r="AC28" s="74" t="s">
        <v>29</v>
      </c>
      <c r="AE28" s="24">
        <f>AVERAGE(T28,N28,H28,C28,Y28)</f>
        <v>41</v>
      </c>
      <c r="AF28" s="24">
        <f t="shared" ref="AF28:AF42" si="4">AVERAGE(V28,P28,J28,E28,AA28)</f>
        <v>340.77200000000005</v>
      </c>
    </row>
    <row r="29" spans="1:32" x14ac:dyDescent="0.25">
      <c r="A29" s="74" t="s">
        <v>31</v>
      </c>
      <c r="B29" s="74"/>
      <c r="C29" s="24">
        <v>33</v>
      </c>
      <c r="D29" s="24">
        <v>39.29</v>
      </c>
      <c r="E29" s="24">
        <v>328.86</v>
      </c>
      <c r="G29" s="74" t="s">
        <v>31</v>
      </c>
      <c r="H29" s="24">
        <v>31</v>
      </c>
      <c r="I29" s="24">
        <v>44.29</v>
      </c>
      <c r="J29" s="24">
        <v>343.71</v>
      </c>
      <c r="M29" s="74" t="s">
        <v>31</v>
      </c>
      <c r="N29" s="24">
        <v>29</v>
      </c>
      <c r="O29" s="24">
        <v>29.71</v>
      </c>
      <c r="P29" s="24">
        <v>371.43</v>
      </c>
      <c r="S29" s="74" t="s">
        <v>31</v>
      </c>
      <c r="T29" s="24">
        <v>30</v>
      </c>
      <c r="U29" s="24">
        <v>17.43</v>
      </c>
      <c r="V29" s="24">
        <v>333.57</v>
      </c>
      <c r="X29" s="74" t="s">
        <v>33</v>
      </c>
      <c r="Y29" s="24">
        <v>15</v>
      </c>
      <c r="Z29" s="24">
        <v>0</v>
      </c>
      <c r="AA29" s="24">
        <v>89.86</v>
      </c>
      <c r="AC29" s="74" t="s">
        <v>445</v>
      </c>
      <c r="AE29" s="24">
        <f t="shared" ref="AE29:AE43" si="5">AVERAGE(T29,N29,H29,C29,Y29)</f>
        <v>27.6</v>
      </c>
      <c r="AF29" s="24">
        <f t="shared" si="4"/>
        <v>293.48599999999999</v>
      </c>
    </row>
    <row r="30" spans="1:32" x14ac:dyDescent="0.25">
      <c r="A30" s="74" t="s">
        <v>32</v>
      </c>
      <c r="B30" s="74"/>
      <c r="C30" s="24">
        <v>28</v>
      </c>
      <c r="D30" s="24">
        <v>48.71</v>
      </c>
      <c r="E30" s="24">
        <v>210.43</v>
      </c>
      <c r="G30" s="74" t="s">
        <v>32</v>
      </c>
      <c r="H30" s="24">
        <v>27</v>
      </c>
      <c r="I30" s="24">
        <v>20</v>
      </c>
      <c r="J30" s="24">
        <v>204.86</v>
      </c>
      <c r="M30" s="74" t="s">
        <v>34</v>
      </c>
      <c r="N30" s="24">
        <v>12</v>
      </c>
      <c r="O30" s="24">
        <v>16.71</v>
      </c>
      <c r="P30" s="24">
        <v>99.14</v>
      </c>
      <c r="S30" s="74" t="s">
        <v>32</v>
      </c>
      <c r="T30" s="24">
        <v>17</v>
      </c>
      <c r="U30" s="24">
        <v>17</v>
      </c>
      <c r="V30" s="24">
        <v>209.71</v>
      </c>
      <c r="X30" s="74" t="s">
        <v>30</v>
      </c>
      <c r="Y30" s="24">
        <v>3</v>
      </c>
      <c r="Z30" s="24">
        <v>15.86</v>
      </c>
      <c r="AA30" s="24">
        <v>123.57</v>
      </c>
      <c r="AC30" s="74" t="s">
        <v>30</v>
      </c>
      <c r="AE30" s="24">
        <f t="shared" si="5"/>
        <v>17.399999999999999</v>
      </c>
      <c r="AF30" s="24">
        <f t="shared" si="4"/>
        <v>169.542</v>
      </c>
    </row>
    <row r="31" spans="1:32" x14ac:dyDescent="0.25">
      <c r="A31" s="74" t="s">
        <v>34</v>
      </c>
      <c r="B31" s="74"/>
      <c r="C31" s="24">
        <v>14</v>
      </c>
      <c r="D31" s="24">
        <v>6</v>
      </c>
      <c r="E31" s="24">
        <v>96.29</v>
      </c>
      <c r="G31" s="74" t="s">
        <v>34</v>
      </c>
      <c r="H31" s="24">
        <v>13</v>
      </c>
      <c r="I31" s="24">
        <v>0</v>
      </c>
      <c r="J31" s="24">
        <v>84.14</v>
      </c>
      <c r="M31" s="74" t="s">
        <v>48</v>
      </c>
      <c r="N31" s="24">
        <v>0</v>
      </c>
      <c r="O31" s="24">
        <v>38.14</v>
      </c>
      <c r="P31" s="24">
        <v>75.569999999999993</v>
      </c>
      <c r="S31" s="74" t="s">
        <v>34</v>
      </c>
      <c r="T31" s="24">
        <v>12</v>
      </c>
      <c r="U31" s="24">
        <v>6</v>
      </c>
      <c r="V31" s="24">
        <v>84</v>
      </c>
      <c r="X31" s="74" t="s">
        <v>31</v>
      </c>
      <c r="Y31" s="24">
        <v>30</v>
      </c>
      <c r="Z31" s="24">
        <v>28.14</v>
      </c>
      <c r="AA31" s="24">
        <v>334</v>
      </c>
      <c r="AC31" s="74" t="s">
        <v>31</v>
      </c>
      <c r="AE31" s="24">
        <f t="shared" si="5"/>
        <v>13.8</v>
      </c>
      <c r="AF31" s="24">
        <f t="shared" si="4"/>
        <v>134.80000000000001</v>
      </c>
    </row>
    <row r="32" spans="1:32" x14ac:dyDescent="0.25">
      <c r="A32" s="74" t="s">
        <v>35</v>
      </c>
      <c r="B32" s="74"/>
      <c r="C32" s="24">
        <v>29</v>
      </c>
      <c r="D32" s="24">
        <v>18</v>
      </c>
      <c r="E32" s="24">
        <v>195.57</v>
      </c>
      <c r="G32" s="74" t="s">
        <v>48</v>
      </c>
      <c r="H32" s="24">
        <v>0</v>
      </c>
      <c r="I32" s="24">
        <v>37.43</v>
      </c>
      <c r="J32" s="24">
        <v>37.43</v>
      </c>
      <c r="M32" s="74" t="s">
        <v>30</v>
      </c>
      <c r="N32" s="24">
        <v>4</v>
      </c>
      <c r="O32" s="24">
        <v>26.71</v>
      </c>
      <c r="P32" s="24">
        <v>94</v>
      </c>
      <c r="S32" s="74" t="s">
        <v>48</v>
      </c>
      <c r="T32" s="24">
        <v>1</v>
      </c>
      <c r="U32" s="24">
        <v>5.43</v>
      </c>
      <c r="V32" s="24">
        <v>80</v>
      </c>
      <c r="X32" s="74" t="s">
        <v>32</v>
      </c>
      <c r="Y32" s="24">
        <v>15</v>
      </c>
      <c r="Z32" s="24">
        <v>1.43</v>
      </c>
      <c r="AA32" s="24">
        <v>196.14</v>
      </c>
      <c r="AC32" s="74" t="s">
        <v>32</v>
      </c>
      <c r="AE32" s="24">
        <f t="shared" si="5"/>
        <v>9.8000000000000007</v>
      </c>
      <c r="AF32" s="24">
        <f t="shared" si="4"/>
        <v>120.628</v>
      </c>
    </row>
    <row r="33" spans="1:32" x14ac:dyDescent="0.25">
      <c r="A33" s="74" t="s">
        <v>33</v>
      </c>
      <c r="B33" s="74"/>
      <c r="C33" s="24">
        <v>19</v>
      </c>
      <c r="D33" s="24">
        <v>-14.43</v>
      </c>
      <c r="E33" s="24">
        <v>146.29</v>
      </c>
      <c r="G33" s="74" t="s">
        <v>35</v>
      </c>
      <c r="H33" s="24">
        <v>22</v>
      </c>
      <c r="I33" s="24">
        <v>13.14</v>
      </c>
      <c r="J33" s="24">
        <v>186.86</v>
      </c>
      <c r="M33" s="74" t="s">
        <v>32</v>
      </c>
      <c r="N33" s="24">
        <v>19</v>
      </c>
      <c r="O33" s="24">
        <v>22.86</v>
      </c>
      <c r="P33" s="24">
        <v>223.71</v>
      </c>
      <c r="S33" s="74" t="s">
        <v>30</v>
      </c>
      <c r="T33" s="24">
        <v>6</v>
      </c>
      <c r="U33" s="24">
        <v>22</v>
      </c>
      <c r="V33" s="24">
        <v>110.86</v>
      </c>
      <c r="X33" s="74" t="s">
        <v>34</v>
      </c>
      <c r="Y33" s="24">
        <v>9</v>
      </c>
      <c r="Z33" s="24">
        <v>3.14</v>
      </c>
      <c r="AA33" s="24">
        <v>78.709999999999994</v>
      </c>
      <c r="AC33" s="74" t="s">
        <v>34</v>
      </c>
      <c r="AE33" s="24">
        <f t="shared" si="5"/>
        <v>15</v>
      </c>
      <c r="AF33" s="24">
        <f t="shared" si="4"/>
        <v>149.286</v>
      </c>
    </row>
    <row r="34" spans="1:32" x14ac:dyDescent="0.25">
      <c r="A34" s="74" t="s">
        <v>30</v>
      </c>
      <c r="B34" s="74"/>
      <c r="C34" s="24">
        <v>2</v>
      </c>
      <c r="D34" s="24">
        <v>17.71</v>
      </c>
      <c r="E34" s="24">
        <v>54.86</v>
      </c>
      <c r="G34" s="74" t="s">
        <v>33</v>
      </c>
      <c r="H34" s="24">
        <v>20</v>
      </c>
      <c r="I34" s="24">
        <v>16.86</v>
      </c>
      <c r="J34" s="24">
        <v>143</v>
      </c>
      <c r="M34" s="74" t="s">
        <v>35</v>
      </c>
      <c r="N34" s="24">
        <v>21</v>
      </c>
      <c r="O34" s="24">
        <v>29</v>
      </c>
      <c r="P34" s="24">
        <v>214.14</v>
      </c>
      <c r="S34" s="74" t="s">
        <v>35</v>
      </c>
      <c r="T34" s="24">
        <v>19</v>
      </c>
      <c r="U34" s="24">
        <v>15.43</v>
      </c>
      <c r="V34" s="24">
        <v>192.29</v>
      </c>
      <c r="X34" s="74" t="s">
        <v>48</v>
      </c>
      <c r="Y34" s="24">
        <v>2</v>
      </c>
      <c r="Z34" s="24">
        <v>23.86</v>
      </c>
      <c r="AA34" s="24">
        <v>116.14</v>
      </c>
      <c r="AC34" s="74" t="s">
        <v>48</v>
      </c>
      <c r="AE34" s="24">
        <f t="shared" si="5"/>
        <v>12.8</v>
      </c>
      <c r="AF34" s="24">
        <f t="shared" si="4"/>
        <v>144.08599999999998</v>
      </c>
    </row>
    <row r="35" spans="1:32" x14ac:dyDescent="0.25">
      <c r="A35" s="27" t="s">
        <v>13</v>
      </c>
      <c r="B35" s="27"/>
      <c r="C35" s="28">
        <v>24</v>
      </c>
      <c r="D35" s="28">
        <v>3.43</v>
      </c>
      <c r="E35" s="28">
        <v>150.13999999999999</v>
      </c>
      <c r="G35" s="74" t="s">
        <v>30</v>
      </c>
      <c r="H35" s="24">
        <v>3</v>
      </c>
      <c r="I35" s="24">
        <v>13.43</v>
      </c>
      <c r="J35" s="24">
        <v>67.290000000000006</v>
      </c>
      <c r="M35" s="74" t="s">
        <v>33</v>
      </c>
      <c r="N35" s="24">
        <v>21</v>
      </c>
      <c r="O35" s="24"/>
      <c r="P35" s="24">
        <v>152.57</v>
      </c>
      <c r="S35" s="74" t="s">
        <v>33</v>
      </c>
      <c r="T35" s="24">
        <v>22</v>
      </c>
      <c r="U35" s="24">
        <v>0</v>
      </c>
      <c r="V35" s="24">
        <v>109</v>
      </c>
      <c r="X35" s="74" t="s">
        <v>35</v>
      </c>
      <c r="Y35" s="24">
        <v>13</v>
      </c>
      <c r="Z35" s="24">
        <v>31.57</v>
      </c>
      <c r="AA35" s="24">
        <v>210.43</v>
      </c>
      <c r="AC35" s="74" t="s">
        <v>35</v>
      </c>
      <c r="AE35" s="24">
        <f t="shared" si="5"/>
        <v>16.600000000000001</v>
      </c>
      <c r="AF35" s="24">
        <f t="shared" si="4"/>
        <v>137.88600000000002</v>
      </c>
    </row>
    <row r="36" spans="1:32" x14ac:dyDescent="0.25">
      <c r="A36" s="27" t="s">
        <v>36</v>
      </c>
      <c r="B36" s="27"/>
      <c r="C36" s="28">
        <v>3</v>
      </c>
      <c r="D36" s="28">
        <v>13.86</v>
      </c>
      <c r="E36" s="28">
        <v>75.290000000000006</v>
      </c>
      <c r="G36" s="27" t="s">
        <v>13</v>
      </c>
      <c r="H36" s="28">
        <v>20</v>
      </c>
      <c r="I36" s="28">
        <v>-4.29</v>
      </c>
      <c r="J36" s="28">
        <v>125.71</v>
      </c>
      <c r="M36" s="27" t="s">
        <v>13</v>
      </c>
      <c r="N36" s="28">
        <v>23</v>
      </c>
      <c r="O36" s="28"/>
      <c r="P36" s="28">
        <v>121.14</v>
      </c>
      <c r="S36" s="27" t="s">
        <v>13</v>
      </c>
      <c r="T36" s="28">
        <v>20</v>
      </c>
      <c r="U36" s="28">
        <v>2.57</v>
      </c>
      <c r="V36" s="28">
        <v>88.14</v>
      </c>
      <c r="X36" s="27" t="s">
        <v>13</v>
      </c>
      <c r="Y36" s="28">
        <v>12</v>
      </c>
      <c r="Z36" s="28">
        <v>0</v>
      </c>
      <c r="AA36" s="28">
        <v>75.290000000000006</v>
      </c>
      <c r="AC36" s="27" t="s">
        <v>13</v>
      </c>
      <c r="AE36" s="125">
        <f t="shared" si="5"/>
        <v>15.6</v>
      </c>
      <c r="AF36" s="125">
        <f t="shared" si="4"/>
        <v>97.114000000000004</v>
      </c>
    </row>
    <row r="37" spans="1:32" x14ac:dyDescent="0.25">
      <c r="A37" s="27" t="s">
        <v>37</v>
      </c>
      <c r="B37" s="27"/>
      <c r="C37" s="28">
        <v>34</v>
      </c>
      <c r="D37" s="28">
        <v>32</v>
      </c>
      <c r="E37" s="28">
        <v>305.43</v>
      </c>
      <c r="G37" s="27" t="s">
        <v>36</v>
      </c>
      <c r="H37" s="28">
        <v>5</v>
      </c>
      <c r="I37" s="28">
        <v>31.57</v>
      </c>
      <c r="J37" s="28">
        <v>105.71</v>
      </c>
      <c r="M37" s="27" t="s">
        <v>36</v>
      </c>
      <c r="N37" s="28">
        <v>7</v>
      </c>
      <c r="O37" s="28">
        <v>46.14</v>
      </c>
      <c r="P37" s="28">
        <v>157.57</v>
      </c>
      <c r="S37" s="27" t="s">
        <v>36</v>
      </c>
      <c r="T37" s="28">
        <v>7</v>
      </c>
      <c r="U37" s="28">
        <v>21.43</v>
      </c>
      <c r="V37" s="28">
        <v>162.71</v>
      </c>
      <c r="X37" s="27" t="s">
        <v>36</v>
      </c>
      <c r="Y37" s="28">
        <v>7</v>
      </c>
      <c r="Z37" s="28">
        <v>12.4</v>
      </c>
      <c r="AA37" s="28">
        <v>178.71</v>
      </c>
      <c r="AC37" s="27" t="s">
        <v>36</v>
      </c>
      <c r="AE37" s="125">
        <f t="shared" si="5"/>
        <v>12</v>
      </c>
      <c r="AF37" s="125">
        <f t="shared" si="4"/>
        <v>182.02600000000001</v>
      </c>
    </row>
    <row r="38" spans="1:32" x14ac:dyDescent="0.25">
      <c r="A38" s="27" t="s">
        <v>11</v>
      </c>
      <c r="B38" s="27"/>
      <c r="C38" s="28">
        <v>47</v>
      </c>
      <c r="D38" s="28">
        <v>17</v>
      </c>
      <c r="E38" s="28">
        <v>314.14</v>
      </c>
      <c r="G38" s="27" t="s">
        <v>37</v>
      </c>
      <c r="H38" s="28">
        <v>32</v>
      </c>
      <c r="I38" s="28">
        <v>66.86</v>
      </c>
      <c r="J38" s="28">
        <v>339.29</v>
      </c>
      <c r="M38" s="27" t="s">
        <v>37</v>
      </c>
      <c r="N38" s="28">
        <v>30</v>
      </c>
      <c r="O38" s="28">
        <v>-6.14</v>
      </c>
      <c r="P38" s="28">
        <v>324</v>
      </c>
      <c r="S38" s="27" t="s">
        <v>37</v>
      </c>
      <c r="T38" s="28">
        <v>25</v>
      </c>
      <c r="U38" s="28">
        <v>-9.14</v>
      </c>
      <c r="V38" s="28">
        <v>269.86</v>
      </c>
      <c r="X38" s="27" t="s">
        <v>37</v>
      </c>
      <c r="Y38" s="28">
        <v>15</v>
      </c>
      <c r="Z38" s="28">
        <v>12.57</v>
      </c>
      <c r="AA38" s="28">
        <v>263.43</v>
      </c>
      <c r="AC38" s="27" t="s">
        <v>37</v>
      </c>
      <c r="AE38" s="125">
        <f t="shared" si="5"/>
        <v>29.8</v>
      </c>
      <c r="AF38" s="125">
        <f t="shared" si="4"/>
        <v>302.14400000000001</v>
      </c>
    </row>
    <row r="39" spans="1:32" x14ac:dyDescent="0.25">
      <c r="A39" s="27" t="s">
        <v>9</v>
      </c>
      <c r="B39" s="27"/>
      <c r="C39" s="28">
        <v>42</v>
      </c>
      <c r="D39" s="28">
        <v>44.29</v>
      </c>
      <c r="E39" s="28">
        <v>350.14</v>
      </c>
      <c r="G39" s="27" t="s">
        <v>11</v>
      </c>
      <c r="H39" s="28">
        <v>43</v>
      </c>
      <c r="I39" s="28">
        <v>35</v>
      </c>
      <c r="J39" s="28">
        <v>305.57</v>
      </c>
      <c r="M39" s="27" t="s">
        <v>11</v>
      </c>
      <c r="N39" s="28">
        <v>41</v>
      </c>
      <c r="O39" s="28">
        <v>25.86</v>
      </c>
      <c r="P39" s="28">
        <v>326.70999999999998</v>
      </c>
      <c r="S39" s="27" t="s">
        <v>11</v>
      </c>
      <c r="T39" s="28">
        <v>38</v>
      </c>
      <c r="U39" s="28">
        <v>39.57</v>
      </c>
      <c r="V39" s="28">
        <v>295.29000000000002</v>
      </c>
      <c r="X39" s="27" t="s">
        <v>11</v>
      </c>
      <c r="Y39" s="28">
        <v>31</v>
      </c>
      <c r="Z39" s="28">
        <v>22</v>
      </c>
      <c r="AA39" s="28">
        <v>288.29000000000002</v>
      </c>
      <c r="AC39" s="27" t="s">
        <v>11</v>
      </c>
      <c r="AE39" s="125">
        <f t="shared" si="5"/>
        <v>39</v>
      </c>
      <c r="AF39" s="125">
        <f t="shared" si="4"/>
        <v>313.2</v>
      </c>
    </row>
    <row r="40" spans="1:32" x14ac:dyDescent="0.25">
      <c r="A40" s="27" t="s">
        <v>12</v>
      </c>
      <c r="B40" s="27"/>
      <c r="C40" s="28">
        <v>19</v>
      </c>
      <c r="D40" s="28">
        <v>16.29</v>
      </c>
      <c r="E40" s="28">
        <v>211.29</v>
      </c>
      <c r="G40" s="27" t="s">
        <v>9</v>
      </c>
      <c r="H40" s="28">
        <v>38</v>
      </c>
      <c r="I40" s="28">
        <v>20</v>
      </c>
      <c r="J40" s="28">
        <v>331.43</v>
      </c>
      <c r="M40" s="27" t="s">
        <v>9</v>
      </c>
      <c r="N40" s="28">
        <v>36</v>
      </c>
      <c r="O40" s="28">
        <v>2.4300000000000002</v>
      </c>
      <c r="P40" s="28">
        <v>328.71</v>
      </c>
      <c r="S40" s="27" t="s">
        <v>9</v>
      </c>
      <c r="T40" s="28">
        <v>33</v>
      </c>
      <c r="U40" s="28">
        <v>20.86</v>
      </c>
      <c r="V40" s="28">
        <v>286.14</v>
      </c>
      <c r="X40" s="27" t="s">
        <v>9</v>
      </c>
      <c r="Y40" s="28">
        <v>23</v>
      </c>
      <c r="Z40" s="28">
        <v>30.71</v>
      </c>
      <c r="AA40" s="28">
        <v>294.70999999999998</v>
      </c>
      <c r="AC40" s="27" t="s">
        <v>9</v>
      </c>
      <c r="AE40" s="125">
        <f t="shared" si="5"/>
        <v>29.8</v>
      </c>
      <c r="AF40" s="125">
        <f t="shared" si="4"/>
        <v>290.45600000000002</v>
      </c>
    </row>
    <row r="41" spans="1:32" x14ac:dyDescent="0.25">
      <c r="A41" s="27" t="s">
        <v>10</v>
      </c>
      <c r="B41" s="27"/>
      <c r="C41" s="28">
        <v>28</v>
      </c>
      <c r="D41" s="28">
        <v>17.43</v>
      </c>
      <c r="E41" s="28">
        <v>238.29</v>
      </c>
      <c r="G41" s="27" t="s">
        <v>12</v>
      </c>
      <c r="H41" s="28">
        <v>17</v>
      </c>
      <c r="I41" s="28">
        <v>14.14</v>
      </c>
      <c r="J41" s="28">
        <v>207.43</v>
      </c>
      <c r="M41" s="27" t="s">
        <v>12</v>
      </c>
      <c r="N41" s="28">
        <v>18</v>
      </c>
      <c r="O41" s="28">
        <v>18</v>
      </c>
      <c r="P41" s="28">
        <v>220.43</v>
      </c>
      <c r="S41" s="27" t="s">
        <v>12</v>
      </c>
      <c r="T41" s="28">
        <v>18</v>
      </c>
      <c r="U41" s="28">
        <v>37.86</v>
      </c>
      <c r="V41" s="28">
        <v>228.86</v>
      </c>
      <c r="X41" s="27" t="s">
        <v>12</v>
      </c>
      <c r="Y41" s="28">
        <v>11</v>
      </c>
      <c r="Z41" s="28">
        <v>18.57</v>
      </c>
      <c r="AA41" s="28">
        <v>235.29</v>
      </c>
      <c r="AC41" s="27" t="s">
        <v>12</v>
      </c>
      <c r="AE41" s="125">
        <f t="shared" si="5"/>
        <v>18.399999999999999</v>
      </c>
      <c r="AF41" s="125">
        <f t="shared" si="4"/>
        <v>226.06</v>
      </c>
    </row>
    <row r="42" spans="1:32" x14ac:dyDescent="0.25">
      <c r="A42" s="2" t="s">
        <v>38</v>
      </c>
      <c r="B42" s="2"/>
      <c r="C42" s="7">
        <v>31</v>
      </c>
      <c r="D42" s="7">
        <v>3.86</v>
      </c>
      <c r="E42" s="7">
        <v>143.13999999999999</v>
      </c>
      <c r="G42" s="27" t="s">
        <v>10</v>
      </c>
      <c r="H42" s="28">
        <v>21</v>
      </c>
      <c r="I42" s="28">
        <v>7.57</v>
      </c>
      <c r="J42" s="28">
        <v>226</v>
      </c>
      <c r="M42" s="27" t="s">
        <v>19</v>
      </c>
      <c r="N42" s="28">
        <v>0</v>
      </c>
      <c r="O42" s="28">
        <v>4</v>
      </c>
      <c r="P42" s="28">
        <v>4</v>
      </c>
      <c r="S42" s="27" t="s">
        <v>10</v>
      </c>
      <c r="T42" s="28">
        <v>23</v>
      </c>
      <c r="U42" s="28">
        <v>3.29</v>
      </c>
      <c r="V42" s="28">
        <v>187.29</v>
      </c>
      <c r="X42" s="27" t="s">
        <v>10</v>
      </c>
      <c r="Y42" s="28">
        <v>18</v>
      </c>
      <c r="Z42" s="28">
        <v>18.57</v>
      </c>
      <c r="AA42" s="28">
        <v>185.86</v>
      </c>
      <c r="AC42" s="27" t="s">
        <v>10</v>
      </c>
      <c r="AE42" s="125">
        <f t="shared" si="5"/>
        <v>18.600000000000001</v>
      </c>
      <c r="AF42" s="125">
        <f t="shared" si="4"/>
        <v>149.25799999999998</v>
      </c>
    </row>
    <row r="43" spans="1:32" x14ac:dyDescent="0.25">
      <c r="A43" s="72" t="s">
        <v>39</v>
      </c>
      <c r="B43" s="6"/>
      <c r="C43" s="8">
        <f>SUM(C28:C42)</f>
        <v>402</v>
      </c>
      <c r="D43" s="8">
        <f>SUM(D28:D42)</f>
        <v>282.73</v>
      </c>
      <c r="E43" s="8">
        <f>SUM(E28:E42)</f>
        <v>3170.5899999999997</v>
      </c>
      <c r="G43" s="2" t="s">
        <v>38</v>
      </c>
      <c r="H43" s="7">
        <v>30</v>
      </c>
      <c r="I43" s="7">
        <v>0</v>
      </c>
      <c r="J43" s="7">
        <v>110.43</v>
      </c>
      <c r="M43" s="27" t="s">
        <v>10</v>
      </c>
      <c r="N43" s="28">
        <v>21</v>
      </c>
      <c r="O43" s="28">
        <v>0.43</v>
      </c>
      <c r="P43" s="28">
        <v>223.71</v>
      </c>
      <c r="S43" s="27" t="s">
        <v>19</v>
      </c>
      <c r="T43" s="28">
        <v>0</v>
      </c>
      <c r="U43" s="28">
        <v>14.57</v>
      </c>
      <c r="V43" s="28">
        <v>18.57</v>
      </c>
      <c r="X43" s="27" t="s">
        <v>19</v>
      </c>
      <c r="Y43" s="28">
        <v>0</v>
      </c>
      <c r="Z43" s="28">
        <v>29.57</v>
      </c>
      <c r="AA43" s="28">
        <v>51</v>
      </c>
      <c r="AC43" s="27" t="s">
        <v>19</v>
      </c>
      <c r="AE43" s="125">
        <f t="shared" si="5"/>
        <v>90.6</v>
      </c>
      <c r="AF43" s="125">
        <v>51</v>
      </c>
    </row>
    <row r="44" spans="1:32" x14ac:dyDescent="0.25">
      <c r="A44" s="72">
        <v>1</v>
      </c>
      <c r="B44" s="6"/>
      <c r="C44" s="30">
        <f>SUM(C28:C34)</f>
        <v>174</v>
      </c>
      <c r="D44" s="30">
        <f>SUM(D28:D34)</f>
        <v>134.57</v>
      </c>
      <c r="E44" s="30">
        <f>SUM(E28:E34)</f>
        <v>1382.7299999999998</v>
      </c>
      <c r="G44" s="72" t="s">
        <v>39</v>
      </c>
      <c r="H44" s="8">
        <f>SUM(H28:H43)</f>
        <v>369</v>
      </c>
      <c r="I44" s="8">
        <f>SUM(I28:I43)</f>
        <v>365.86</v>
      </c>
      <c r="J44" s="8">
        <f>SUM(J28:J43)</f>
        <v>3173.72</v>
      </c>
      <c r="M44" s="2" t="s">
        <v>38</v>
      </c>
      <c r="N44" s="7">
        <v>29</v>
      </c>
      <c r="O44" s="7"/>
      <c r="P44" s="7">
        <v>91.14</v>
      </c>
      <c r="S44" s="2" t="s">
        <v>38</v>
      </c>
      <c r="T44" s="7">
        <v>20</v>
      </c>
      <c r="U44" s="7">
        <v>61.14</v>
      </c>
      <c r="V44" s="7">
        <v>6</v>
      </c>
      <c r="X44" s="2" t="s">
        <v>38</v>
      </c>
      <c r="Y44" s="7">
        <v>10</v>
      </c>
      <c r="Z44" s="7">
        <v>4.43</v>
      </c>
      <c r="AA44" s="7">
        <v>44.29</v>
      </c>
      <c r="AC44" s="127" t="s">
        <v>691</v>
      </c>
      <c r="AE44" s="230">
        <f>AVERAGE(AE28:AE43)</f>
        <v>25.487499999999997</v>
      </c>
      <c r="AF44" s="230">
        <f t="shared" ref="AF44" si="6">AVERAGE(AF28:AF43)</f>
        <v>193.85900000000001</v>
      </c>
    </row>
    <row r="45" spans="1:32" x14ac:dyDescent="0.25">
      <c r="A45" s="72">
        <v>2</v>
      </c>
      <c r="B45" s="6"/>
      <c r="C45" s="29">
        <f>SUM(C35:C41)</f>
        <v>197</v>
      </c>
      <c r="D45" s="29">
        <f>SUM(D35:D41)</f>
        <v>144.29999999999998</v>
      </c>
      <c r="E45" s="29">
        <f>SUM(E35:E41)</f>
        <v>1644.7199999999998</v>
      </c>
      <c r="G45" s="72">
        <v>1</v>
      </c>
      <c r="H45" s="30">
        <f>SUM(H28:H35)</f>
        <v>163</v>
      </c>
      <c r="I45" s="29">
        <f>SUM(I28:I35)</f>
        <v>195.01000000000005</v>
      </c>
      <c r="J45" s="30">
        <f>SUM(J28:J35)</f>
        <v>1422.15</v>
      </c>
      <c r="M45" s="72" t="s">
        <v>39</v>
      </c>
      <c r="N45" s="8">
        <f>SUM(N28:N44)</f>
        <v>350</v>
      </c>
      <c r="O45" s="8">
        <f>SUM(O28:O44)</f>
        <v>275.42</v>
      </c>
      <c r="P45" s="8">
        <f>SUM(P28:P44)</f>
        <v>3396.9700000000003</v>
      </c>
      <c r="S45" s="72" t="s">
        <v>39</v>
      </c>
      <c r="T45" s="8">
        <f>SUM(T28:T44)</f>
        <v>329</v>
      </c>
      <c r="U45" s="8">
        <f>SUM(U28:U44)</f>
        <v>283.15000000000003</v>
      </c>
      <c r="V45" s="8">
        <f>SUM(V28:V44)</f>
        <v>2970.29</v>
      </c>
      <c r="X45" s="72" t="s">
        <v>39</v>
      </c>
      <c r="Y45" s="8">
        <f>SUM(Y28:Y44)</f>
        <v>246</v>
      </c>
      <c r="Z45" s="8">
        <f>SUM(Z28:Z44)</f>
        <v>298.39</v>
      </c>
      <c r="AA45" s="8">
        <f>SUM(AA28:AA44)</f>
        <v>3087.2900000000004</v>
      </c>
    </row>
    <row r="46" spans="1:32" x14ac:dyDescent="0.25">
      <c r="A46" s="72" t="s">
        <v>49</v>
      </c>
      <c r="B46" s="6"/>
      <c r="C46" s="9">
        <f>SUM(C45-C44)</f>
        <v>23</v>
      </c>
      <c r="D46" s="9">
        <f>SUM(D45-D44)</f>
        <v>9.7299999999999898</v>
      </c>
      <c r="E46" s="9">
        <f>SUM(E45-E44)</f>
        <v>261.99</v>
      </c>
      <c r="G46" s="72">
        <v>2</v>
      </c>
      <c r="H46" s="29">
        <f>SUM(H36:H42)</f>
        <v>176</v>
      </c>
      <c r="I46" s="30">
        <f>SUM(I36:I42)</f>
        <v>170.84999999999997</v>
      </c>
      <c r="J46" s="29">
        <f>SUM(J36:J42)</f>
        <v>1641.14</v>
      </c>
      <c r="M46" s="72">
        <v>1</v>
      </c>
      <c r="N46" s="30">
        <f>SUM(N28:N35)</f>
        <v>145</v>
      </c>
      <c r="O46" s="29">
        <f>SUM(O28:O35)</f>
        <v>184.7</v>
      </c>
      <c r="P46" s="30">
        <f>SUM(P28:P35)</f>
        <v>1599.5600000000002</v>
      </c>
      <c r="S46" s="72">
        <v>1</v>
      </c>
      <c r="T46" s="30">
        <f>SUM(T28:T35)</f>
        <v>145</v>
      </c>
      <c r="U46" s="30">
        <f>SUM(U28:U35)</f>
        <v>91</v>
      </c>
      <c r="V46" s="30">
        <f>SUM(V28:V35)</f>
        <v>1427.4299999999998</v>
      </c>
      <c r="X46" s="72">
        <v>1</v>
      </c>
      <c r="Y46" s="29">
        <f>SUM(Y28:Y35)</f>
        <v>119</v>
      </c>
      <c r="Z46" s="29">
        <f>SUM(Z28:Z35)</f>
        <v>149.57</v>
      </c>
      <c r="AA46" s="30">
        <f>SUM(AA28:AA35)</f>
        <v>1470.42</v>
      </c>
    </row>
    <row r="47" spans="1:32" x14ac:dyDescent="0.25">
      <c r="A47" s="72" t="s">
        <v>40</v>
      </c>
      <c r="B47" s="6"/>
      <c r="C47" s="8">
        <v>481</v>
      </c>
      <c r="D47" s="8">
        <v>256.70999999999998</v>
      </c>
      <c r="E47" s="8">
        <v>3667.43</v>
      </c>
      <c r="G47" s="72" t="s">
        <v>49</v>
      </c>
      <c r="H47" s="9">
        <f>SUM(H46-H45)</f>
        <v>13</v>
      </c>
      <c r="I47" s="9">
        <f>SUM(I45-I46)</f>
        <v>24.160000000000082</v>
      </c>
      <c r="J47" s="9">
        <f>SUM(J46-J45)</f>
        <v>218.99</v>
      </c>
      <c r="M47" s="72">
        <v>2</v>
      </c>
      <c r="N47" s="29">
        <f>SUM(N36:N43)</f>
        <v>176</v>
      </c>
      <c r="O47" s="30">
        <f>SUM(O36:O43)</f>
        <v>90.720000000000013</v>
      </c>
      <c r="P47" s="29">
        <f>SUM(P36:P43)</f>
        <v>1706.2700000000002</v>
      </c>
      <c r="S47" s="72">
        <v>2</v>
      </c>
      <c r="T47" s="29">
        <f>SUM(T36:T43)</f>
        <v>164</v>
      </c>
      <c r="U47" s="29">
        <f>SUM(U36:U43)</f>
        <v>131.01</v>
      </c>
      <c r="V47" s="29">
        <f>SUM(V36:V43)</f>
        <v>1536.86</v>
      </c>
      <c r="X47" s="72">
        <v>2</v>
      </c>
      <c r="Y47" s="30">
        <f>SUM(Y36:Y43)</f>
        <v>117</v>
      </c>
      <c r="Z47" s="30">
        <f>SUM(Z36:Z43)</f>
        <v>144.38999999999999</v>
      </c>
      <c r="AA47" s="29">
        <f>SUM(AA36:AA43)</f>
        <v>1572.58</v>
      </c>
    </row>
    <row r="48" spans="1:32" ht="30" x14ac:dyDescent="0.25">
      <c r="A48" s="72" t="s">
        <v>41</v>
      </c>
      <c r="B48" s="6"/>
      <c r="C48" s="12">
        <f>C47-C43</f>
        <v>79</v>
      </c>
      <c r="D48" s="12">
        <f>D47-D43</f>
        <v>-26.020000000000039</v>
      </c>
      <c r="E48" s="12">
        <f>E47-E43</f>
        <v>496.84000000000015</v>
      </c>
      <c r="G48" s="72" t="s">
        <v>40</v>
      </c>
      <c r="H48" s="8">
        <v>445</v>
      </c>
      <c r="I48" s="8">
        <v>385.29</v>
      </c>
      <c r="J48" s="8">
        <v>3613.29</v>
      </c>
      <c r="M48" s="68" t="s">
        <v>50</v>
      </c>
      <c r="N48" s="9"/>
      <c r="O48" s="8">
        <v>43</v>
      </c>
      <c r="P48" s="67">
        <f>SUM(O45/O48)</f>
        <v>6.4051162790697678</v>
      </c>
      <c r="S48" s="68" t="s">
        <v>50</v>
      </c>
      <c r="T48" s="9"/>
      <c r="U48" s="8">
        <v>64</v>
      </c>
      <c r="V48" s="67">
        <f>SUM(U45/U48)</f>
        <v>4.4242187500000005</v>
      </c>
      <c r="X48" s="68" t="s">
        <v>50</v>
      </c>
      <c r="Y48" s="9"/>
      <c r="Z48" s="8">
        <v>38</v>
      </c>
      <c r="AA48" s="67">
        <f>SUM(Z45/Z48)</f>
        <v>7.8523684210526312</v>
      </c>
    </row>
    <row r="49" spans="1:33" x14ac:dyDescent="0.25">
      <c r="A49" s="6"/>
      <c r="B49" s="6"/>
      <c r="C49" s="12"/>
      <c r="D49" s="12"/>
      <c r="E49" s="12"/>
      <c r="G49" s="72" t="s">
        <v>41</v>
      </c>
      <c r="H49" s="12">
        <f>H48-H44</f>
        <v>76</v>
      </c>
      <c r="I49" s="12">
        <f>I48-I44</f>
        <v>19.430000000000007</v>
      </c>
      <c r="J49" s="12">
        <f>J48-J44</f>
        <v>439.57000000000016</v>
      </c>
      <c r="M49" s="72" t="s">
        <v>40</v>
      </c>
      <c r="N49" s="8">
        <v>415</v>
      </c>
      <c r="O49" s="8">
        <v>279</v>
      </c>
      <c r="P49" s="8">
        <v>3823.43</v>
      </c>
      <c r="S49" s="72" t="s">
        <v>40</v>
      </c>
      <c r="T49" s="8">
        <v>387</v>
      </c>
      <c r="U49" s="8">
        <v>217.86</v>
      </c>
      <c r="V49" s="8">
        <v>3332.71</v>
      </c>
      <c r="X49" s="72" t="s">
        <v>40</v>
      </c>
      <c r="Y49" s="8">
        <v>387</v>
      </c>
      <c r="Z49" s="8">
        <v>217.86</v>
      </c>
      <c r="AA49" s="8">
        <v>3332.71</v>
      </c>
    </row>
    <row r="50" spans="1:33" x14ac:dyDescent="0.25">
      <c r="A50" s="6"/>
      <c r="B50" s="6"/>
      <c r="C50" s="12"/>
      <c r="D50" s="12"/>
      <c r="E50" s="12"/>
      <c r="M50" s="72" t="s">
        <v>41</v>
      </c>
      <c r="N50" s="12">
        <f>N49-N45</f>
        <v>65</v>
      </c>
      <c r="O50" s="12">
        <f>O49-O45</f>
        <v>3.5799999999999841</v>
      </c>
      <c r="P50" s="12">
        <f>P49-P45</f>
        <v>426.45999999999958</v>
      </c>
      <c r="S50" s="72" t="s">
        <v>41</v>
      </c>
      <c r="T50" s="12">
        <f>T49-T45</f>
        <v>58</v>
      </c>
      <c r="U50" s="12">
        <f>U49-U45</f>
        <v>-65.29000000000002</v>
      </c>
      <c r="V50" s="12">
        <f>V49-V45</f>
        <v>362.42000000000007</v>
      </c>
      <c r="X50" s="72" t="s">
        <v>41</v>
      </c>
      <c r="Y50" s="12">
        <f>Y49-Y45</f>
        <v>141</v>
      </c>
      <c r="Z50" s="12">
        <f>Z49-Z45</f>
        <v>-80.529999999999973</v>
      </c>
      <c r="AA50" s="12">
        <f>AA49-AA45</f>
        <v>245.41999999999962</v>
      </c>
    </row>
    <row r="52" spans="1:33" ht="18.75" x14ac:dyDescent="0.3">
      <c r="A52" s="128" t="s">
        <v>51</v>
      </c>
      <c r="B52" s="4"/>
      <c r="C52" s="10"/>
      <c r="D52" s="10"/>
      <c r="E52" s="10"/>
      <c r="G52" s="69" t="s">
        <v>52</v>
      </c>
      <c r="H52" s="10"/>
      <c r="I52" s="10"/>
      <c r="J52" s="10"/>
      <c r="M52" s="69" t="s">
        <v>53</v>
      </c>
      <c r="N52" s="10"/>
      <c r="O52" s="10"/>
      <c r="P52" s="10"/>
      <c r="S52" s="69" t="s">
        <v>54</v>
      </c>
      <c r="T52" s="10"/>
      <c r="U52" s="10"/>
      <c r="V52" s="10"/>
    </row>
    <row r="53" spans="1:33" ht="45" x14ac:dyDescent="0.25">
      <c r="A53" s="70"/>
      <c r="B53" s="70"/>
      <c r="C53" s="71" t="s">
        <v>26</v>
      </c>
      <c r="D53" s="71" t="s">
        <v>27</v>
      </c>
      <c r="E53" s="71" t="s">
        <v>28</v>
      </c>
      <c r="G53" s="70"/>
      <c r="H53" s="71" t="s">
        <v>26</v>
      </c>
      <c r="I53" s="71" t="s">
        <v>27</v>
      </c>
      <c r="J53" s="71" t="s">
        <v>28</v>
      </c>
      <c r="M53" s="70"/>
      <c r="N53" s="71" t="s">
        <v>26</v>
      </c>
      <c r="O53" s="71" t="s">
        <v>27</v>
      </c>
      <c r="P53" s="71" t="s">
        <v>28</v>
      </c>
      <c r="S53" s="70"/>
      <c r="T53" s="71" t="s">
        <v>26</v>
      </c>
      <c r="U53" s="71" t="s">
        <v>27</v>
      </c>
      <c r="V53" s="71" t="s">
        <v>28</v>
      </c>
      <c r="AC53" s="124" t="s">
        <v>685</v>
      </c>
      <c r="AE53" s="71" t="s">
        <v>26</v>
      </c>
      <c r="AF53" s="71" t="s">
        <v>1023</v>
      </c>
      <c r="AG53" s="71" t="s">
        <v>28</v>
      </c>
    </row>
    <row r="54" spans="1:33" x14ac:dyDescent="0.25">
      <c r="A54" s="74" t="s">
        <v>29</v>
      </c>
      <c r="B54" s="74"/>
      <c r="C54" s="24">
        <v>32</v>
      </c>
      <c r="D54" s="24">
        <v>32.29</v>
      </c>
      <c r="E54" s="24">
        <v>321.86</v>
      </c>
      <c r="G54" s="74" t="s">
        <v>29</v>
      </c>
      <c r="H54" s="24">
        <v>36</v>
      </c>
      <c r="I54" s="24">
        <v>50</v>
      </c>
      <c r="J54" s="24">
        <v>335.29</v>
      </c>
      <c r="M54" s="74" t="s">
        <v>29</v>
      </c>
      <c r="N54" s="24">
        <v>44</v>
      </c>
      <c r="O54" s="24">
        <v>60.14</v>
      </c>
      <c r="P54" s="24">
        <v>353</v>
      </c>
      <c r="S54" s="74" t="s">
        <v>29</v>
      </c>
      <c r="T54" s="24">
        <v>44</v>
      </c>
      <c r="U54" s="24">
        <v>16.14</v>
      </c>
      <c r="V54" s="24">
        <v>327</v>
      </c>
      <c r="AC54" s="74" t="s">
        <v>29</v>
      </c>
      <c r="AE54" s="24">
        <f>AVERAGE(T54,N54,H54,C54)</f>
        <v>39</v>
      </c>
      <c r="AF54" s="24">
        <f>AVERAGE(U54,O54,I54,D54)</f>
        <v>39.642499999999998</v>
      </c>
      <c r="AG54" s="24">
        <f>AVERAGE(V54,P54,J54,E54)</f>
        <v>334.28750000000002</v>
      </c>
    </row>
    <row r="55" spans="1:33" x14ac:dyDescent="0.25">
      <c r="A55" s="74" t="s">
        <v>33</v>
      </c>
      <c r="B55" s="74"/>
      <c r="C55" s="24">
        <v>15</v>
      </c>
      <c r="D55" s="24">
        <v>0</v>
      </c>
      <c r="E55" s="24">
        <v>75.290000000000006</v>
      </c>
      <c r="G55" s="74" t="s">
        <v>33</v>
      </c>
      <c r="H55" s="24">
        <v>14</v>
      </c>
      <c r="I55" s="24">
        <v>3.71</v>
      </c>
      <c r="J55" s="24">
        <v>54.57</v>
      </c>
      <c r="M55" s="74" t="s">
        <v>33</v>
      </c>
      <c r="N55" s="24">
        <v>8</v>
      </c>
      <c r="O55" s="24">
        <v>0</v>
      </c>
      <c r="P55" s="24">
        <v>40</v>
      </c>
      <c r="S55" s="74" t="s">
        <v>33</v>
      </c>
      <c r="T55" s="24">
        <v>6</v>
      </c>
      <c r="U55" s="24">
        <v>2.29</v>
      </c>
      <c r="V55" s="24">
        <v>36.71</v>
      </c>
      <c r="AC55" s="74" t="s">
        <v>445</v>
      </c>
      <c r="AE55" s="24">
        <f t="shared" ref="AE55:AE69" si="7">AVERAGE(T55,N55,H55,C55)</f>
        <v>10.75</v>
      </c>
      <c r="AF55" s="24">
        <f t="shared" ref="AF55:AF69" si="8">AVERAGE(U55,O55,I55,D55)</f>
        <v>1.5</v>
      </c>
      <c r="AG55" s="24">
        <f t="shared" ref="AG55:AG69" si="9">AVERAGE(V55,P55,J55,E55)</f>
        <v>51.642499999999998</v>
      </c>
    </row>
    <row r="56" spans="1:33" x14ac:dyDescent="0.25">
      <c r="A56" s="74" t="s">
        <v>30</v>
      </c>
      <c r="B56" s="74"/>
      <c r="C56" s="24">
        <v>3</v>
      </c>
      <c r="D56" s="24">
        <v>57.14</v>
      </c>
      <c r="E56" s="24">
        <v>186.14</v>
      </c>
      <c r="G56" s="74" t="s">
        <v>30</v>
      </c>
      <c r="H56" s="24">
        <v>8</v>
      </c>
      <c r="I56" s="24">
        <v>20</v>
      </c>
      <c r="J56" s="24">
        <v>198.29</v>
      </c>
      <c r="M56" s="74" t="s">
        <v>30</v>
      </c>
      <c r="N56" s="24">
        <v>15</v>
      </c>
      <c r="O56" s="24">
        <v>24.71</v>
      </c>
      <c r="P56" s="24">
        <v>209.43</v>
      </c>
      <c r="S56" s="74" t="s">
        <v>30</v>
      </c>
      <c r="T56" s="24">
        <v>21</v>
      </c>
      <c r="U56" s="24">
        <v>0</v>
      </c>
      <c r="V56" s="24">
        <v>188.57</v>
      </c>
      <c r="AC56" s="74" t="s">
        <v>30</v>
      </c>
      <c r="AE56" s="24">
        <f t="shared" si="7"/>
        <v>11.75</v>
      </c>
      <c r="AF56" s="24">
        <f t="shared" si="8"/>
        <v>25.462499999999999</v>
      </c>
      <c r="AG56" s="24">
        <f t="shared" si="9"/>
        <v>195.60749999999999</v>
      </c>
    </row>
    <row r="57" spans="1:33" x14ac:dyDescent="0.25">
      <c r="A57" s="74" t="s">
        <v>31</v>
      </c>
      <c r="B57" s="74"/>
      <c r="C57" s="24">
        <v>26</v>
      </c>
      <c r="D57" s="24">
        <v>21.57</v>
      </c>
      <c r="E57" s="24">
        <v>326.43</v>
      </c>
      <c r="G57" s="74" t="s">
        <v>31</v>
      </c>
      <c r="H57" s="24">
        <v>35</v>
      </c>
      <c r="I57" s="24">
        <v>13.86</v>
      </c>
      <c r="J57" s="24">
        <v>306.14</v>
      </c>
      <c r="M57" s="74" t="s">
        <v>31</v>
      </c>
      <c r="N57" s="24">
        <v>39</v>
      </c>
      <c r="O57" s="24">
        <v>9.7100000000000009</v>
      </c>
      <c r="P57" s="24">
        <v>277</v>
      </c>
      <c r="S57" s="74" t="s">
        <v>31</v>
      </c>
      <c r="T57" s="24">
        <v>40</v>
      </c>
      <c r="U57" s="24">
        <v>26.43</v>
      </c>
      <c r="V57" s="24">
        <v>264.43</v>
      </c>
      <c r="AC57" s="74" t="s">
        <v>31</v>
      </c>
      <c r="AE57" s="24">
        <f t="shared" si="7"/>
        <v>35</v>
      </c>
      <c r="AF57" s="24">
        <f t="shared" si="8"/>
        <v>17.892499999999998</v>
      </c>
      <c r="AG57" s="24">
        <f t="shared" si="9"/>
        <v>293.5</v>
      </c>
    </row>
    <row r="58" spans="1:33" x14ac:dyDescent="0.25">
      <c r="A58" s="74" t="s">
        <v>32</v>
      </c>
      <c r="B58" s="74"/>
      <c r="C58" s="24">
        <v>16</v>
      </c>
      <c r="D58" s="24">
        <v>-0.43</v>
      </c>
      <c r="E58" s="24">
        <v>179.71</v>
      </c>
      <c r="G58" s="74" t="s">
        <v>32</v>
      </c>
      <c r="H58" s="24">
        <v>22</v>
      </c>
      <c r="I58" s="24">
        <v>7.71</v>
      </c>
      <c r="J58" s="24">
        <v>166</v>
      </c>
      <c r="M58" s="74" t="s">
        <v>32</v>
      </c>
      <c r="N58" s="24">
        <v>23</v>
      </c>
      <c r="O58" s="24">
        <v>25.14</v>
      </c>
      <c r="P58" s="24">
        <v>176</v>
      </c>
      <c r="S58" s="74" t="s">
        <v>32</v>
      </c>
      <c r="T58" s="24">
        <v>23</v>
      </c>
      <c r="U58" s="24">
        <v>6.14</v>
      </c>
      <c r="V58" s="24">
        <v>159.71</v>
      </c>
      <c r="AC58" s="74" t="s">
        <v>32</v>
      </c>
      <c r="AE58" s="24">
        <f t="shared" si="7"/>
        <v>21</v>
      </c>
      <c r="AF58" s="24">
        <f t="shared" si="8"/>
        <v>9.64</v>
      </c>
      <c r="AG58" s="24">
        <f t="shared" si="9"/>
        <v>170.35500000000002</v>
      </c>
    </row>
    <row r="59" spans="1:33" x14ac:dyDescent="0.25">
      <c r="A59" s="74" t="s">
        <v>34</v>
      </c>
      <c r="B59" s="74"/>
      <c r="C59" s="24">
        <v>9</v>
      </c>
      <c r="D59" s="24">
        <v>0</v>
      </c>
      <c r="E59" s="24">
        <v>70.14</v>
      </c>
      <c r="G59" s="74" t="s">
        <v>34</v>
      </c>
      <c r="H59" s="24">
        <v>7</v>
      </c>
      <c r="I59" s="24">
        <v>0</v>
      </c>
      <c r="J59" s="24">
        <v>63</v>
      </c>
      <c r="M59" s="74" t="s">
        <v>34</v>
      </c>
      <c r="N59" s="24">
        <v>8</v>
      </c>
      <c r="O59" s="24">
        <v>13</v>
      </c>
      <c r="P59" s="24">
        <v>68</v>
      </c>
      <c r="S59" s="74" t="s">
        <v>34</v>
      </c>
      <c r="T59" s="24">
        <v>9</v>
      </c>
      <c r="U59" s="24">
        <v>0</v>
      </c>
      <c r="V59" s="24">
        <v>59</v>
      </c>
      <c r="AC59" s="74" t="s">
        <v>34</v>
      </c>
      <c r="AE59" s="24">
        <f t="shared" si="7"/>
        <v>8.25</v>
      </c>
      <c r="AF59" s="24">
        <f t="shared" si="8"/>
        <v>3.25</v>
      </c>
      <c r="AG59" s="24">
        <f t="shared" si="9"/>
        <v>65.034999999999997</v>
      </c>
    </row>
    <row r="60" spans="1:33" x14ac:dyDescent="0.25">
      <c r="A60" s="74" t="s">
        <v>48</v>
      </c>
      <c r="B60" s="74"/>
      <c r="C60" s="24">
        <v>3</v>
      </c>
      <c r="D60" s="24">
        <v>9</v>
      </c>
      <c r="E60" s="24">
        <v>122.14</v>
      </c>
      <c r="G60" s="74" t="s">
        <v>48</v>
      </c>
      <c r="H60" s="24">
        <v>4</v>
      </c>
      <c r="I60" s="24">
        <v>6</v>
      </c>
      <c r="J60" s="24">
        <v>124.14</v>
      </c>
      <c r="M60" s="74" t="s">
        <v>48</v>
      </c>
      <c r="N60" s="24">
        <v>7</v>
      </c>
      <c r="O60" s="24">
        <v>4</v>
      </c>
      <c r="P60" s="24">
        <v>121.71</v>
      </c>
      <c r="S60" s="74" t="s">
        <v>48</v>
      </c>
      <c r="T60" s="24">
        <v>10</v>
      </c>
      <c r="U60" s="24">
        <v>3.86</v>
      </c>
      <c r="V60" s="24">
        <v>115.29</v>
      </c>
      <c r="AC60" s="74" t="s">
        <v>48</v>
      </c>
      <c r="AE60" s="24">
        <f t="shared" si="7"/>
        <v>6</v>
      </c>
      <c r="AF60" s="24">
        <f t="shared" si="8"/>
        <v>5.7149999999999999</v>
      </c>
      <c r="AG60" s="24">
        <f t="shared" si="9"/>
        <v>120.82</v>
      </c>
    </row>
    <row r="61" spans="1:33" x14ac:dyDescent="0.25">
      <c r="A61" s="74" t="s">
        <v>35</v>
      </c>
      <c r="B61" s="74"/>
      <c r="C61" s="24">
        <v>14</v>
      </c>
      <c r="D61" s="24">
        <v>26</v>
      </c>
      <c r="E61" s="24">
        <v>223.29</v>
      </c>
      <c r="G61" s="74" t="s">
        <v>35</v>
      </c>
      <c r="H61" s="24">
        <v>21</v>
      </c>
      <c r="I61" s="24">
        <v>-3.57</v>
      </c>
      <c r="J61" s="24">
        <v>200.43</v>
      </c>
      <c r="M61" s="74" t="s">
        <v>35</v>
      </c>
      <c r="N61" s="24">
        <v>20</v>
      </c>
      <c r="O61" s="24">
        <v>10.14</v>
      </c>
      <c r="P61" s="24">
        <v>191.14</v>
      </c>
      <c r="S61" s="74" t="s">
        <v>35</v>
      </c>
      <c r="T61" s="24">
        <v>20</v>
      </c>
      <c r="U61" s="24">
        <v>51.43</v>
      </c>
      <c r="V61" s="24">
        <v>221.14</v>
      </c>
      <c r="AC61" s="74" t="s">
        <v>35</v>
      </c>
      <c r="AE61" s="24">
        <f t="shared" si="7"/>
        <v>18.75</v>
      </c>
      <c r="AF61" s="24">
        <f t="shared" si="8"/>
        <v>21</v>
      </c>
      <c r="AG61" s="24">
        <f t="shared" si="9"/>
        <v>209</v>
      </c>
    </row>
    <row r="62" spans="1:33" x14ac:dyDescent="0.25">
      <c r="A62" s="27" t="s">
        <v>13</v>
      </c>
      <c r="B62" s="27"/>
      <c r="C62" s="28">
        <v>6</v>
      </c>
      <c r="D62" s="28">
        <v>3.86</v>
      </c>
      <c r="E62" s="28">
        <v>72.14</v>
      </c>
      <c r="G62" s="27" t="s">
        <v>13</v>
      </c>
      <c r="H62" s="28">
        <v>9</v>
      </c>
      <c r="I62" s="28">
        <v>0.86</v>
      </c>
      <c r="J62" s="28">
        <v>64.14</v>
      </c>
      <c r="M62" s="27" t="s">
        <v>13</v>
      </c>
      <c r="N62" s="28">
        <v>10</v>
      </c>
      <c r="O62" s="28">
        <v>0</v>
      </c>
      <c r="P62" s="28">
        <v>54.57</v>
      </c>
      <c r="S62" s="27" t="s">
        <v>13</v>
      </c>
      <c r="T62" s="28">
        <v>9</v>
      </c>
      <c r="U62" s="28">
        <v>6.14</v>
      </c>
      <c r="V62" s="28">
        <v>48.71</v>
      </c>
      <c r="AC62" s="27" t="s">
        <v>13</v>
      </c>
      <c r="AE62" s="125">
        <f t="shared" si="7"/>
        <v>8.5</v>
      </c>
      <c r="AF62" s="125">
        <f t="shared" si="8"/>
        <v>2.7149999999999999</v>
      </c>
      <c r="AG62" s="125">
        <f t="shared" si="9"/>
        <v>59.89</v>
      </c>
    </row>
    <row r="63" spans="1:33" x14ac:dyDescent="0.25">
      <c r="A63" s="27" t="s">
        <v>36</v>
      </c>
      <c r="B63" s="27"/>
      <c r="C63" s="28">
        <v>10</v>
      </c>
      <c r="D63" s="28">
        <v>25.29</v>
      </c>
      <c r="E63" s="28">
        <v>195.14</v>
      </c>
      <c r="G63" s="27" t="s">
        <v>36</v>
      </c>
      <c r="H63" s="28">
        <v>16</v>
      </c>
      <c r="I63" s="28">
        <v>35.14</v>
      </c>
      <c r="J63" s="28">
        <v>226.71</v>
      </c>
      <c r="M63" s="27" t="s">
        <v>36</v>
      </c>
      <c r="N63" s="28">
        <v>25</v>
      </c>
      <c r="O63" s="28">
        <v>16.86</v>
      </c>
      <c r="P63" s="28">
        <v>219.43</v>
      </c>
      <c r="S63" s="27" t="s">
        <v>36</v>
      </c>
      <c r="T63" s="28">
        <v>26</v>
      </c>
      <c r="U63" s="28">
        <v>6</v>
      </c>
      <c r="V63" s="28">
        <v>199.71</v>
      </c>
      <c r="AC63" s="27" t="s">
        <v>36</v>
      </c>
      <c r="AE63" s="125">
        <f t="shared" si="7"/>
        <v>19.25</v>
      </c>
      <c r="AF63" s="125">
        <f t="shared" si="8"/>
        <v>20.822499999999998</v>
      </c>
      <c r="AG63" s="125">
        <f t="shared" si="9"/>
        <v>210.2475</v>
      </c>
    </row>
    <row r="64" spans="1:33" x14ac:dyDescent="0.25">
      <c r="A64" s="27" t="s">
        <v>37</v>
      </c>
      <c r="B64" s="27"/>
      <c r="C64" s="28">
        <v>19</v>
      </c>
      <c r="D64" s="28">
        <v>8.57</v>
      </c>
      <c r="E64" s="28">
        <v>252.86</v>
      </c>
      <c r="G64" s="27" t="s">
        <v>37</v>
      </c>
      <c r="H64" s="28">
        <v>23</v>
      </c>
      <c r="I64" s="28">
        <v>10.29</v>
      </c>
      <c r="J64" s="28">
        <v>238.14</v>
      </c>
      <c r="M64" s="27" t="s">
        <v>37</v>
      </c>
      <c r="N64" s="28">
        <v>26</v>
      </c>
      <c r="O64" s="28">
        <v>12.29</v>
      </c>
      <c r="P64" s="28">
        <v>225.43</v>
      </c>
      <c r="S64" s="27" t="s">
        <v>37</v>
      </c>
      <c r="T64" s="28">
        <v>22</v>
      </c>
      <c r="U64" s="28">
        <v>29.43</v>
      </c>
      <c r="V64" s="28">
        <v>231.29</v>
      </c>
      <c r="AC64" s="27" t="s">
        <v>37</v>
      </c>
      <c r="AE64" s="125">
        <f t="shared" si="7"/>
        <v>22.5</v>
      </c>
      <c r="AF64" s="125">
        <f t="shared" si="8"/>
        <v>15.145</v>
      </c>
      <c r="AG64" s="125">
        <f t="shared" si="9"/>
        <v>236.93</v>
      </c>
    </row>
    <row r="65" spans="1:33" x14ac:dyDescent="0.25">
      <c r="A65" s="27" t="s">
        <v>11</v>
      </c>
      <c r="B65" s="27"/>
      <c r="C65" s="28">
        <v>30</v>
      </c>
      <c r="D65" s="28">
        <v>27.43</v>
      </c>
      <c r="E65" s="28">
        <v>285.57</v>
      </c>
      <c r="G65" s="27" t="s">
        <v>11</v>
      </c>
      <c r="H65" s="28">
        <v>35</v>
      </c>
      <c r="I65" s="28">
        <v>48.57</v>
      </c>
      <c r="J65" s="28">
        <v>300.57</v>
      </c>
      <c r="M65" s="27" t="s">
        <v>11</v>
      </c>
      <c r="N65" s="28">
        <v>34</v>
      </c>
      <c r="O65" s="28">
        <v>26.57</v>
      </c>
      <c r="P65" s="28">
        <v>294.14</v>
      </c>
      <c r="S65" s="27" t="s">
        <v>11</v>
      </c>
      <c r="T65" s="28">
        <v>34</v>
      </c>
      <c r="U65" s="28">
        <v>4.29</v>
      </c>
      <c r="V65" s="28">
        <v>252</v>
      </c>
      <c r="AC65" s="27" t="s">
        <v>11</v>
      </c>
      <c r="AE65" s="125">
        <f t="shared" si="7"/>
        <v>33.25</v>
      </c>
      <c r="AF65" s="125">
        <f t="shared" si="8"/>
        <v>26.715000000000003</v>
      </c>
      <c r="AG65" s="125">
        <f t="shared" si="9"/>
        <v>283.07</v>
      </c>
    </row>
    <row r="66" spans="1:33" x14ac:dyDescent="0.25">
      <c r="A66" s="27" t="s">
        <v>9</v>
      </c>
      <c r="B66" s="27"/>
      <c r="C66" s="28">
        <v>22</v>
      </c>
      <c r="D66" s="28">
        <v>25.29</v>
      </c>
      <c r="E66" s="28">
        <v>298.57</v>
      </c>
      <c r="G66" s="27" t="s">
        <v>9</v>
      </c>
      <c r="H66" s="28">
        <v>33</v>
      </c>
      <c r="I66" s="28">
        <v>27.86</v>
      </c>
      <c r="J66" s="28">
        <v>294.43</v>
      </c>
      <c r="M66" s="27" t="s">
        <v>9</v>
      </c>
      <c r="N66" s="28">
        <v>31</v>
      </c>
      <c r="O66" s="28">
        <v>8.14</v>
      </c>
      <c r="P66" s="28">
        <v>271.57</v>
      </c>
      <c r="S66" s="27" t="s">
        <v>9</v>
      </c>
      <c r="T66" s="28">
        <v>34</v>
      </c>
      <c r="U66" s="28">
        <v>22</v>
      </c>
      <c r="V66" s="28">
        <v>260</v>
      </c>
      <c r="AC66" s="27" t="s">
        <v>9</v>
      </c>
      <c r="AE66" s="125">
        <f t="shared" si="7"/>
        <v>30</v>
      </c>
      <c r="AF66" s="125">
        <f t="shared" si="8"/>
        <v>20.822499999999998</v>
      </c>
      <c r="AG66" s="125">
        <f t="shared" si="9"/>
        <v>281.14249999999998</v>
      </c>
    </row>
    <row r="67" spans="1:33" x14ac:dyDescent="0.25">
      <c r="A67" s="27" t="s">
        <v>12</v>
      </c>
      <c r="B67" s="27"/>
      <c r="C67" s="28">
        <v>15</v>
      </c>
      <c r="D67" s="28">
        <v>16.71</v>
      </c>
      <c r="E67" s="28">
        <v>236.14</v>
      </c>
      <c r="G67" s="27" t="s">
        <v>12</v>
      </c>
      <c r="H67" s="28">
        <v>22</v>
      </c>
      <c r="I67" s="28">
        <v>27.43</v>
      </c>
      <c r="J67" s="28">
        <v>242.43</v>
      </c>
      <c r="M67" s="27" t="s">
        <v>12</v>
      </c>
      <c r="N67" s="28">
        <v>26</v>
      </c>
      <c r="O67" s="28">
        <v>38.57</v>
      </c>
      <c r="P67" s="28">
        <v>256.14</v>
      </c>
      <c r="S67" s="27" t="s">
        <v>12</v>
      </c>
      <c r="T67" s="28">
        <v>25</v>
      </c>
      <c r="U67" s="28">
        <v>23.29</v>
      </c>
      <c r="V67" s="28">
        <v>255</v>
      </c>
      <c r="AC67" s="27" t="s">
        <v>12</v>
      </c>
      <c r="AE67" s="125">
        <f t="shared" si="7"/>
        <v>22</v>
      </c>
      <c r="AF67" s="125">
        <f t="shared" si="8"/>
        <v>26.5</v>
      </c>
      <c r="AG67" s="125">
        <f t="shared" si="9"/>
        <v>247.42749999999998</v>
      </c>
    </row>
    <row r="68" spans="1:33" x14ac:dyDescent="0.25">
      <c r="A68" s="27" t="s">
        <v>10</v>
      </c>
      <c r="B68" s="27"/>
      <c r="C68" s="28">
        <v>19</v>
      </c>
      <c r="D68" s="28">
        <v>12.57</v>
      </c>
      <c r="E68" s="28">
        <v>182.57</v>
      </c>
      <c r="G68" s="27" t="s">
        <v>10</v>
      </c>
      <c r="H68" s="28">
        <v>20</v>
      </c>
      <c r="I68" s="28">
        <v>0</v>
      </c>
      <c r="J68" s="28">
        <v>162.57</v>
      </c>
      <c r="M68" s="27" t="s">
        <v>10</v>
      </c>
      <c r="N68" s="28">
        <v>23</v>
      </c>
      <c r="O68" s="28">
        <v>3.71</v>
      </c>
      <c r="P68" s="28">
        <v>149.57</v>
      </c>
      <c r="S68" s="27" t="s">
        <v>10</v>
      </c>
      <c r="T68" s="28">
        <v>23</v>
      </c>
      <c r="U68" s="28">
        <v>34.71</v>
      </c>
      <c r="V68" s="28">
        <v>173.14</v>
      </c>
      <c r="AC68" s="27" t="s">
        <v>10</v>
      </c>
      <c r="AE68" s="125">
        <f t="shared" si="7"/>
        <v>21.25</v>
      </c>
      <c r="AF68" s="125">
        <f t="shared" si="8"/>
        <v>12.7475</v>
      </c>
      <c r="AG68" s="125">
        <f t="shared" si="9"/>
        <v>166.96249999999998</v>
      </c>
    </row>
    <row r="69" spans="1:33" x14ac:dyDescent="0.25">
      <c r="A69" s="27" t="s">
        <v>19</v>
      </c>
      <c r="B69" s="27"/>
      <c r="C69" s="28">
        <v>1</v>
      </c>
      <c r="D69" s="28">
        <v>9.7100000000000009</v>
      </c>
      <c r="E69" s="28">
        <v>59.71</v>
      </c>
      <c r="G69" s="27" t="s">
        <v>19</v>
      </c>
      <c r="H69" s="28">
        <v>2</v>
      </c>
      <c r="I69" s="28">
        <v>22.86</v>
      </c>
      <c r="J69" s="28">
        <v>80.569999999999993</v>
      </c>
      <c r="M69" s="27" t="s">
        <v>19</v>
      </c>
      <c r="N69" s="28">
        <v>3</v>
      </c>
      <c r="O69" s="28">
        <v>0</v>
      </c>
      <c r="P69" s="28">
        <v>84.43</v>
      </c>
      <c r="S69" s="27" t="s">
        <v>19</v>
      </c>
      <c r="T69" s="28">
        <v>7</v>
      </c>
      <c r="U69" s="28">
        <v>0</v>
      </c>
      <c r="V69" s="28">
        <v>80.86</v>
      </c>
      <c r="AC69" s="27" t="s">
        <v>19</v>
      </c>
      <c r="AE69" s="125">
        <f t="shared" si="7"/>
        <v>3.25</v>
      </c>
      <c r="AF69" s="125">
        <f t="shared" si="8"/>
        <v>8.1425000000000001</v>
      </c>
      <c r="AG69" s="125">
        <f t="shared" si="9"/>
        <v>76.392499999999998</v>
      </c>
    </row>
    <row r="70" spans="1:33" x14ac:dyDescent="0.25">
      <c r="A70" s="2" t="s">
        <v>38</v>
      </c>
      <c r="B70" s="2"/>
      <c r="C70" s="7">
        <v>11</v>
      </c>
      <c r="D70" s="7"/>
      <c r="E70" s="7">
        <v>33.43</v>
      </c>
      <c r="G70" s="2" t="s">
        <v>38</v>
      </c>
      <c r="H70" s="7">
        <v>9</v>
      </c>
      <c r="I70" s="7">
        <v>21.71</v>
      </c>
      <c r="J70" s="7">
        <v>46.14</v>
      </c>
      <c r="M70" s="2" t="s">
        <v>38</v>
      </c>
      <c r="N70" s="7">
        <v>6</v>
      </c>
      <c r="O70" s="7">
        <v>3.57</v>
      </c>
      <c r="P70" s="7">
        <v>43.71</v>
      </c>
      <c r="S70" s="2" t="s">
        <v>38</v>
      </c>
      <c r="T70" s="7">
        <v>5</v>
      </c>
      <c r="U70" s="7">
        <v>25.14</v>
      </c>
      <c r="V70" s="7">
        <v>63.86</v>
      </c>
      <c r="AC70" s="127" t="s">
        <v>697</v>
      </c>
      <c r="AE70" s="230">
        <f>AVERAGE(AE54:AE69)</f>
        <v>19.40625</v>
      </c>
      <c r="AF70" s="230">
        <f>AVERAGE(AF54:AF69)</f>
        <v>16.107031249999999</v>
      </c>
      <c r="AG70" s="230">
        <f t="shared" ref="AG70" si="10">AVERAGE(AG54:AG69)</f>
        <v>187.644375</v>
      </c>
    </row>
    <row r="71" spans="1:33" x14ac:dyDescent="0.25">
      <c r="A71" s="72" t="s">
        <v>39</v>
      </c>
      <c r="B71" s="6"/>
      <c r="C71" s="8">
        <f>SUM(C54:C70)</f>
        <v>251</v>
      </c>
      <c r="D71" s="8">
        <f>SUM(D54:D70)</f>
        <v>275</v>
      </c>
      <c r="E71" s="8">
        <f>SUM(E54:E70)</f>
        <v>3121.1300000000006</v>
      </c>
      <c r="G71" s="72" t="s">
        <v>39</v>
      </c>
      <c r="H71" s="8">
        <f>SUM(H54:H70)</f>
        <v>316</v>
      </c>
      <c r="I71" s="8">
        <f>SUM(I54:I70)</f>
        <v>292.43</v>
      </c>
      <c r="J71" s="8">
        <f>SUM(J54:J70)</f>
        <v>3103.5600000000004</v>
      </c>
      <c r="M71" s="72" t="s">
        <v>39</v>
      </c>
      <c r="N71" s="8">
        <f>SUM(N54:N70)</f>
        <v>348</v>
      </c>
      <c r="O71" s="8">
        <f>SUM(O54:O70)</f>
        <v>256.55</v>
      </c>
      <c r="P71" s="8">
        <f>SUM(P54:P70)</f>
        <v>3035.2700000000004</v>
      </c>
      <c r="S71" s="72" t="s">
        <v>39</v>
      </c>
      <c r="T71" s="8">
        <f>SUM(T54:T70)</f>
        <v>358</v>
      </c>
      <c r="U71" s="8">
        <f>SUM(U54:U70)</f>
        <v>257.28999999999996</v>
      </c>
      <c r="V71" s="8">
        <f>SUM(V54:V70)</f>
        <v>2936.42</v>
      </c>
    </row>
    <row r="72" spans="1:33" x14ac:dyDescent="0.25">
      <c r="A72" s="72">
        <v>1</v>
      </c>
      <c r="B72" s="6"/>
      <c r="C72" s="53">
        <f>SUM(C54:C61)</f>
        <v>118</v>
      </c>
      <c r="D72" s="52">
        <f>SUM(D54:D61)</f>
        <v>145.57</v>
      </c>
      <c r="E72" s="53">
        <f>SUM(E54:E61)</f>
        <v>1505.0000000000002</v>
      </c>
      <c r="G72" s="72">
        <v>1</v>
      </c>
      <c r="H72" s="53">
        <f>SUM(H54:H61)</f>
        <v>147</v>
      </c>
      <c r="I72" s="53">
        <f>SUM(I54:I61)</f>
        <v>97.710000000000008</v>
      </c>
      <c r="J72" s="53">
        <f>SUM(J54:J61)</f>
        <v>1447.8600000000001</v>
      </c>
      <c r="M72" s="72">
        <v>1</v>
      </c>
      <c r="N72" s="53">
        <f>SUM(N54:N61)</f>
        <v>164</v>
      </c>
      <c r="O72" s="52">
        <f>SUM(O54:O61)</f>
        <v>146.83999999999997</v>
      </c>
      <c r="P72" s="53">
        <f>SUM(P54:P61)</f>
        <v>1436.2800000000002</v>
      </c>
      <c r="S72" s="72">
        <v>1</v>
      </c>
      <c r="T72" s="53">
        <f>SUM(T54:T61)</f>
        <v>173</v>
      </c>
      <c r="U72" s="53">
        <f>SUM(U54:U61)</f>
        <v>106.28999999999999</v>
      </c>
      <c r="V72" s="53">
        <f>SUM(V54:V61)</f>
        <v>1371.85</v>
      </c>
    </row>
    <row r="73" spans="1:33" x14ac:dyDescent="0.25">
      <c r="A73" s="72">
        <v>2</v>
      </c>
      <c r="B73" s="6"/>
      <c r="C73" s="52">
        <f>SUM(C62:C69)</f>
        <v>122</v>
      </c>
      <c r="D73" s="53">
        <f>SUM(D62:D69)</f>
        <v>129.43</v>
      </c>
      <c r="E73" s="52">
        <f>SUM(E62:E69)</f>
        <v>1582.7</v>
      </c>
      <c r="G73" s="72">
        <v>2</v>
      </c>
      <c r="H73" s="52">
        <f>SUM(H62:H69)</f>
        <v>160</v>
      </c>
      <c r="I73" s="52">
        <f>SUM(I62:I69)</f>
        <v>173.01</v>
      </c>
      <c r="J73" s="52">
        <f>SUM(J62:J69)</f>
        <v>1609.56</v>
      </c>
      <c r="M73" s="72">
        <v>2</v>
      </c>
      <c r="N73" s="52">
        <f>SUM(N62:N69)</f>
        <v>178</v>
      </c>
      <c r="O73" s="53">
        <f>SUM(O62:O69)</f>
        <v>106.14</v>
      </c>
      <c r="P73" s="52">
        <f>SUM(P62:P69)</f>
        <v>1555.2799999999997</v>
      </c>
      <c r="S73" s="72">
        <v>2</v>
      </c>
      <c r="T73" s="52">
        <f>SUM(T62:T69)</f>
        <v>180</v>
      </c>
      <c r="U73" s="52">
        <f>SUM(U62:U69)</f>
        <v>125.86000000000001</v>
      </c>
      <c r="V73" s="52">
        <f>SUM(V62:V69)</f>
        <v>1500.7099999999998</v>
      </c>
    </row>
    <row r="74" spans="1:33" ht="30" x14ac:dyDescent="0.25">
      <c r="A74" s="68" t="s">
        <v>50</v>
      </c>
      <c r="B74" s="87"/>
      <c r="C74" s="66"/>
      <c r="D74" s="66">
        <v>41</v>
      </c>
      <c r="E74" s="67">
        <f>SUM(D71/D74)</f>
        <v>6.7073170731707314</v>
      </c>
      <c r="G74" s="68" t="s">
        <v>50</v>
      </c>
      <c r="H74" s="66"/>
      <c r="I74" s="75">
        <v>116</v>
      </c>
      <c r="J74" s="67">
        <f>SUM(I71/I74)</f>
        <v>2.5209482758620689</v>
      </c>
      <c r="M74" s="68" t="s">
        <v>50</v>
      </c>
      <c r="N74" s="66"/>
      <c r="O74" s="66">
        <v>83</v>
      </c>
      <c r="P74" s="67">
        <f>SUM(O71/O74)</f>
        <v>3.0909638554216867</v>
      </c>
      <c r="S74" s="68" t="s">
        <v>50</v>
      </c>
      <c r="T74" s="66"/>
      <c r="U74" s="66">
        <v>73</v>
      </c>
      <c r="V74" s="67">
        <f>SUM(U71/U74)</f>
        <v>3.5245205479452051</v>
      </c>
    </row>
    <row r="75" spans="1:33" x14ac:dyDescent="0.25">
      <c r="A75" s="72" t="s">
        <v>49</v>
      </c>
      <c r="B75" s="6"/>
      <c r="C75" s="8"/>
      <c r="D75" s="8"/>
      <c r="E75" s="8"/>
      <c r="G75" s="72" t="s">
        <v>49</v>
      </c>
      <c r="H75" s="8"/>
      <c r="I75" s="8"/>
      <c r="J75" s="8"/>
      <c r="M75" s="72" t="s">
        <v>49</v>
      </c>
      <c r="N75" s="8"/>
      <c r="O75" s="8"/>
      <c r="P75" s="8"/>
      <c r="S75" s="72" t="s">
        <v>49</v>
      </c>
      <c r="T75" s="8"/>
      <c r="U75" s="8"/>
      <c r="V75" s="8"/>
    </row>
    <row r="76" spans="1:33" x14ac:dyDescent="0.25">
      <c r="A76" s="72" t="s">
        <v>40</v>
      </c>
      <c r="B76" s="6"/>
      <c r="C76" s="8"/>
      <c r="D76" s="8"/>
      <c r="E76" s="8"/>
      <c r="G76" s="72" t="s">
        <v>40</v>
      </c>
      <c r="H76" s="8"/>
      <c r="I76" s="8"/>
      <c r="J76" s="8"/>
      <c r="M76" s="72" t="s">
        <v>40</v>
      </c>
      <c r="N76" s="8"/>
      <c r="O76" s="8"/>
      <c r="P76" s="8"/>
      <c r="S76" s="72" t="s">
        <v>40</v>
      </c>
      <c r="T76" s="8"/>
      <c r="U76" s="8"/>
      <c r="V76" s="8"/>
    </row>
    <row r="77" spans="1:33" x14ac:dyDescent="0.25">
      <c r="A77" s="72" t="s">
        <v>41</v>
      </c>
      <c r="B77" s="6"/>
      <c r="C77" s="12">
        <f>C76-C71</f>
        <v>-251</v>
      </c>
      <c r="D77" s="12">
        <f>D76-D71</f>
        <v>-275</v>
      </c>
      <c r="E77" s="12">
        <f>E76-E71</f>
        <v>-3121.1300000000006</v>
      </c>
      <c r="G77" s="72" t="s">
        <v>41</v>
      </c>
      <c r="H77" s="12">
        <f>H76-H71</f>
        <v>-316</v>
      </c>
      <c r="I77" s="12">
        <f>I76-I71</f>
        <v>-292.43</v>
      </c>
      <c r="J77" s="12">
        <f>J76-J71</f>
        <v>-3103.5600000000004</v>
      </c>
      <c r="M77" s="72" t="s">
        <v>41</v>
      </c>
      <c r="N77" s="12">
        <f>N76-N71</f>
        <v>-348</v>
      </c>
      <c r="O77" s="12">
        <f>O76-O71</f>
        <v>-256.55</v>
      </c>
      <c r="P77" s="12">
        <f>P76-P71</f>
        <v>-3035.2700000000004</v>
      </c>
      <c r="S77" s="72" t="s">
        <v>41</v>
      </c>
      <c r="T77" s="12">
        <f>T76-T71</f>
        <v>-358</v>
      </c>
      <c r="U77" s="12">
        <f>U76-U71</f>
        <v>-257.28999999999996</v>
      </c>
      <c r="V77" s="12">
        <f>V76-V71</f>
        <v>-2936.42</v>
      </c>
    </row>
    <row r="79" spans="1:33" ht="18.75" x14ac:dyDescent="0.3">
      <c r="A79" s="69" t="s">
        <v>55</v>
      </c>
      <c r="B79" s="4"/>
      <c r="C79" s="10"/>
      <c r="D79" s="10"/>
      <c r="E79" s="10"/>
      <c r="G79" s="69" t="s">
        <v>56</v>
      </c>
      <c r="H79" s="10"/>
      <c r="I79" s="10"/>
      <c r="J79" s="10"/>
      <c r="M79" s="69" t="s">
        <v>57</v>
      </c>
      <c r="N79" s="10"/>
      <c r="O79" s="10"/>
      <c r="P79" s="10"/>
      <c r="S79" s="69" t="s">
        <v>58</v>
      </c>
      <c r="T79" s="10"/>
      <c r="U79" s="10"/>
      <c r="V79" s="10"/>
    </row>
    <row r="80" spans="1:33" ht="45" x14ac:dyDescent="0.25">
      <c r="A80" s="70"/>
      <c r="B80" s="70"/>
      <c r="C80" s="71" t="s">
        <v>26</v>
      </c>
      <c r="D80" s="71" t="s">
        <v>27</v>
      </c>
      <c r="E80" s="71" t="s">
        <v>28</v>
      </c>
      <c r="G80" s="70"/>
      <c r="H80" s="71" t="s">
        <v>26</v>
      </c>
      <c r="I80" s="71" t="s">
        <v>27</v>
      </c>
      <c r="J80" s="71" t="s">
        <v>28</v>
      </c>
      <c r="M80" s="70"/>
      <c r="N80" s="71" t="s">
        <v>26</v>
      </c>
      <c r="O80" s="71" t="s">
        <v>27</v>
      </c>
      <c r="P80" s="71" t="s">
        <v>28</v>
      </c>
      <c r="S80" s="70"/>
      <c r="T80" s="71" t="s">
        <v>26</v>
      </c>
      <c r="U80" s="71" t="s">
        <v>27</v>
      </c>
      <c r="V80" s="71" t="s">
        <v>28</v>
      </c>
      <c r="AC80" s="124" t="s">
        <v>685</v>
      </c>
      <c r="AE80" s="71" t="s">
        <v>26</v>
      </c>
      <c r="AF80" s="71"/>
      <c r="AG80" s="71" t="s">
        <v>28</v>
      </c>
    </row>
    <row r="81" spans="1:33" x14ac:dyDescent="0.25">
      <c r="A81" s="74" t="s">
        <v>29</v>
      </c>
      <c r="B81" s="74"/>
      <c r="C81" s="24">
        <v>44</v>
      </c>
      <c r="D81" s="24">
        <v>26.71</v>
      </c>
      <c r="E81" s="24">
        <v>310.43</v>
      </c>
      <c r="G81" s="74" t="s">
        <v>29</v>
      </c>
      <c r="H81" s="24">
        <v>41</v>
      </c>
      <c r="I81" s="24">
        <v>28.43</v>
      </c>
      <c r="J81" s="24">
        <v>298</v>
      </c>
      <c r="M81" s="74" t="s">
        <v>29</v>
      </c>
      <c r="N81" s="24">
        <v>39</v>
      </c>
      <c r="O81" s="24">
        <v>39.57</v>
      </c>
      <c r="P81" s="24">
        <v>300</v>
      </c>
      <c r="S81" s="74" t="s">
        <v>29</v>
      </c>
      <c r="T81" s="24">
        <v>37</v>
      </c>
      <c r="U81" s="24">
        <v>44.71</v>
      </c>
      <c r="V81" s="24">
        <v>308.43</v>
      </c>
      <c r="AC81" s="74" t="s">
        <v>29</v>
      </c>
      <c r="AE81" s="24">
        <f>AVERAGE(T81,N81,H81,C81)</f>
        <v>40.25</v>
      </c>
      <c r="AF81" s="24">
        <f>AVERAGE(U81,O81,I81,D81)</f>
        <v>34.855000000000004</v>
      </c>
      <c r="AG81" s="24">
        <f>AVERAGE(V81,P81,J81,E81)</f>
        <v>304.21500000000003</v>
      </c>
    </row>
    <row r="82" spans="1:33" x14ac:dyDescent="0.25">
      <c r="A82" s="74" t="s">
        <v>33</v>
      </c>
      <c r="B82" s="74"/>
      <c r="C82" s="24">
        <v>6</v>
      </c>
      <c r="D82" s="24">
        <v>0</v>
      </c>
      <c r="E82" s="24">
        <v>31.43</v>
      </c>
      <c r="G82" s="74" t="s">
        <v>33</v>
      </c>
      <c r="H82" s="24">
        <v>6</v>
      </c>
      <c r="I82" s="24">
        <v>0</v>
      </c>
      <c r="J82" s="24">
        <v>25.43</v>
      </c>
      <c r="M82" s="74" t="s">
        <v>33</v>
      </c>
      <c r="N82" s="24">
        <v>6</v>
      </c>
      <c r="O82" s="24">
        <v>0</v>
      </c>
      <c r="P82" s="24">
        <v>19.86</v>
      </c>
      <c r="S82" s="74" t="s">
        <v>33</v>
      </c>
      <c r="T82" s="24">
        <v>4</v>
      </c>
      <c r="U82" s="24">
        <v>0</v>
      </c>
      <c r="V82" s="24">
        <v>15.86</v>
      </c>
      <c r="AC82" s="74" t="s">
        <v>445</v>
      </c>
      <c r="AE82" s="24">
        <f t="shared" ref="AE82:AE96" si="11">AVERAGE(T82,N82,H82,C82)</f>
        <v>5.5</v>
      </c>
      <c r="AF82" s="24">
        <f t="shared" ref="AF82:AF96" si="12">AVERAGE(U82,O82,I82,D82)</f>
        <v>0</v>
      </c>
      <c r="AG82" s="24">
        <f t="shared" ref="AG82:AG96" si="13">AVERAGE(V82,P82,J82,E82)</f>
        <v>23.145</v>
      </c>
    </row>
    <row r="83" spans="1:33" x14ac:dyDescent="0.25">
      <c r="A83" s="74" t="s">
        <v>30</v>
      </c>
      <c r="B83" s="74"/>
      <c r="C83" s="24">
        <v>22</v>
      </c>
      <c r="D83" s="24">
        <v>17.86</v>
      </c>
      <c r="E83" s="24">
        <v>184.43</v>
      </c>
      <c r="G83" s="74" t="s">
        <v>30</v>
      </c>
      <c r="H83" s="24">
        <v>23</v>
      </c>
      <c r="I83" s="24">
        <v>20.14</v>
      </c>
      <c r="J83" s="24">
        <v>182.57</v>
      </c>
      <c r="M83" s="74" t="s">
        <v>30</v>
      </c>
      <c r="N83" s="24">
        <v>24</v>
      </c>
      <c r="O83" s="24">
        <v>11.86</v>
      </c>
      <c r="P83" s="24">
        <v>171.29</v>
      </c>
      <c r="S83" s="74" t="s">
        <v>30</v>
      </c>
      <c r="T83" s="24">
        <v>24</v>
      </c>
      <c r="U83" s="24">
        <v>21.86</v>
      </c>
      <c r="V83" s="24">
        <v>170.14</v>
      </c>
      <c r="AC83" s="74" t="s">
        <v>30</v>
      </c>
      <c r="AE83" s="24">
        <f t="shared" si="11"/>
        <v>23.25</v>
      </c>
      <c r="AF83" s="24">
        <f t="shared" si="12"/>
        <v>17.93</v>
      </c>
      <c r="AG83" s="24">
        <f t="shared" si="13"/>
        <v>177.10750000000002</v>
      </c>
    </row>
    <row r="84" spans="1:33" x14ac:dyDescent="0.25">
      <c r="A84" s="74" t="s">
        <v>31</v>
      </c>
      <c r="B84" s="74"/>
      <c r="C84" s="24">
        <v>39</v>
      </c>
      <c r="D84" s="24">
        <v>14</v>
      </c>
      <c r="E84" s="24">
        <v>241.57</v>
      </c>
      <c r="G84" s="74" t="s">
        <v>31</v>
      </c>
      <c r="H84" s="24">
        <v>33</v>
      </c>
      <c r="I84" s="24">
        <v>14.43</v>
      </c>
      <c r="J84" s="24">
        <v>223.71</v>
      </c>
      <c r="M84" s="74" t="s">
        <v>31</v>
      </c>
      <c r="N84" s="24">
        <v>33</v>
      </c>
      <c r="O84" s="24">
        <v>24.43</v>
      </c>
      <c r="P84" s="24">
        <v>216.86</v>
      </c>
      <c r="S84" s="74" t="s">
        <v>31</v>
      </c>
      <c r="T84" s="24">
        <v>32</v>
      </c>
      <c r="U84" s="24">
        <v>29.43</v>
      </c>
      <c r="V84" s="24">
        <v>215</v>
      </c>
      <c r="AC84" s="74" t="s">
        <v>31</v>
      </c>
      <c r="AE84" s="24">
        <f t="shared" si="11"/>
        <v>34.25</v>
      </c>
      <c r="AF84" s="24">
        <f t="shared" si="12"/>
        <v>20.572499999999998</v>
      </c>
      <c r="AG84" s="24">
        <f t="shared" si="13"/>
        <v>224.28500000000003</v>
      </c>
    </row>
    <row r="85" spans="1:33" x14ac:dyDescent="0.25">
      <c r="A85" s="74" t="s">
        <v>32</v>
      </c>
      <c r="B85" s="74"/>
      <c r="C85" s="24">
        <v>21</v>
      </c>
      <c r="D85" s="24">
        <v>0</v>
      </c>
      <c r="E85" s="24">
        <v>139.57</v>
      </c>
      <c r="G85" s="74" t="s">
        <v>32</v>
      </c>
      <c r="H85" s="24">
        <v>18</v>
      </c>
      <c r="I85" s="24">
        <v>20.86</v>
      </c>
      <c r="J85" s="24">
        <v>142.43</v>
      </c>
      <c r="M85" s="74" t="s">
        <v>32</v>
      </c>
      <c r="N85" s="24">
        <v>19</v>
      </c>
      <c r="O85" s="24">
        <v>36.71</v>
      </c>
      <c r="P85" s="24">
        <v>160.13999999999999</v>
      </c>
      <c r="S85" s="74" t="s">
        <v>32</v>
      </c>
      <c r="T85" s="24">
        <v>22</v>
      </c>
      <c r="U85" s="24">
        <v>35.29</v>
      </c>
      <c r="V85" s="24">
        <v>182.29</v>
      </c>
      <c r="AC85" s="74" t="s">
        <v>32</v>
      </c>
      <c r="AE85" s="24">
        <f t="shared" si="11"/>
        <v>20</v>
      </c>
      <c r="AF85" s="24">
        <f t="shared" si="12"/>
        <v>23.215</v>
      </c>
      <c r="AG85" s="24">
        <f t="shared" si="13"/>
        <v>156.10749999999999</v>
      </c>
    </row>
    <row r="86" spans="1:33" x14ac:dyDescent="0.25">
      <c r="A86" s="74" t="s">
        <v>34</v>
      </c>
      <c r="B86" s="74"/>
      <c r="C86" s="24">
        <v>7</v>
      </c>
      <c r="D86" s="24">
        <v>-6</v>
      </c>
      <c r="E86" s="24">
        <v>46.14</v>
      </c>
      <c r="G86" s="74" t="s">
        <v>34</v>
      </c>
      <c r="H86" s="24">
        <v>7</v>
      </c>
      <c r="I86" s="24">
        <v>0</v>
      </c>
      <c r="J86" s="24">
        <v>39.14</v>
      </c>
      <c r="M86" s="74" t="s">
        <v>34</v>
      </c>
      <c r="N86" s="24">
        <v>4</v>
      </c>
      <c r="O86" s="24">
        <v>0</v>
      </c>
      <c r="P86" s="24">
        <v>34.43</v>
      </c>
      <c r="S86" s="74" t="s">
        <v>34</v>
      </c>
      <c r="T86" s="24">
        <v>4</v>
      </c>
      <c r="U86" s="24">
        <v>0</v>
      </c>
      <c r="V86" s="24">
        <v>30.43</v>
      </c>
      <c r="AC86" s="74" t="s">
        <v>34</v>
      </c>
      <c r="AE86" s="24">
        <f t="shared" si="11"/>
        <v>5.5</v>
      </c>
      <c r="AF86" s="24">
        <f t="shared" si="12"/>
        <v>-1.5</v>
      </c>
      <c r="AG86" s="24">
        <f t="shared" si="13"/>
        <v>37.534999999999997</v>
      </c>
    </row>
    <row r="87" spans="1:33" x14ac:dyDescent="0.25">
      <c r="A87" s="74" t="s">
        <v>48</v>
      </c>
      <c r="B87" s="74"/>
      <c r="C87" s="24">
        <v>11</v>
      </c>
      <c r="D87" s="24">
        <v>20.14</v>
      </c>
      <c r="E87" s="24">
        <v>124.29</v>
      </c>
      <c r="G87" s="74" t="s">
        <v>48</v>
      </c>
      <c r="H87" s="24">
        <v>16</v>
      </c>
      <c r="I87" s="24">
        <v>17.71</v>
      </c>
      <c r="J87" s="24">
        <v>126.57</v>
      </c>
      <c r="M87" s="74" t="s">
        <v>48</v>
      </c>
      <c r="N87" s="24">
        <v>17</v>
      </c>
      <c r="O87" s="24">
        <v>18.43</v>
      </c>
      <c r="P87" s="24">
        <v>128.86000000000001</v>
      </c>
      <c r="S87" s="74" t="s">
        <v>48</v>
      </c>
      <c r="T87" s="24">
        <v>20</v>
      </c>
      <c r="U87" s="24">
        <v>6.14</v>
      </c>
      <c r="V87" s="24">
        <v>115.86</v>
      </c>
      <c r="AC87" s="74" t="s">
        <v>48</v>
      </c>
      <c r="AE87" s="24">
        <f t="shared" si="11"/>
        <v>16</v>
      </c>
      <c r="AF87" s="24">
        <f t="shared" si="12"/>
        <v>15.605</v>
      </c>
      <c r="AG87" s="24">
        <f t="shared" si="13"/>
        <v>123.89500000000001</v>
      </c>
    </row>
    <row r="88" spans="1:33" x14ac:dyDescent="0.25">
      <c r="A88" s="74" t="s">
        <v>35</v>
      </c>
      <c r="B88" s="74"/>
      <c r="C88" s="24">
        <v>19</v>
      </c>
      <c r="D88" s="24">
        <v>7.14</v>
      </c>
      <c r="E88" s="24">
        <v>208.43</v>
      </c>
      <c r="G88" s="74" t="s">
        <v>35</v>
      </c>
      <c r="H88" s="24">
        <v>22</v>
      </c>
      <c r="I88" s="24">
        <v>14.71</v>
      </c>
      <c r="J88" s="24">
        <v>202</v>
      </c>
      <c r="M88" s="74" t="s">
        <v>35</v>
      </c>
      <c r="N88" s="24">
        <v>27</v>
      </c>
      <c r="O88" s="24">
        <v>26.57</v>
      </c>
      <c r="P88" s="24">
        <v>202</v>
      </c>
      <c r="S88" s="74" t="s">
        <v>35</v>
      </c>
      <c r="T88" s="24">
        <v>27</v>
      </c>
      <c r="U88" s="24">
        <v>14.29</v>
      </c>
      <c r="V88" s="24">
        <v>189.71</v>
      </c>
      <c r="AC88" s="74" t="s">
        <v>35</v>
      </c>
      <c r="AE88" s="24">
        <f t="shared" si="11"/>
        <v>23.75</v>
      </c>
      <c r="AF88" s="24">
        <f t="shared" si="12"/>
        <v>15.6775</v>
      </c>
      <c r="AG88" s="24">
        <f t="shared" si="13"/>
        <v>200.53500000000003</v>
      </c>
    </row>
    <row r="89" spans="1:33" x14ac:dyDescent="0.25">
      <c r="A89" s="27" t="s">
        <v>13</v>
      </c>
      <c r="B89" s="27"/>
      <c r="C89" s="28">
        <v>8</v>
      </c>
      <c r="D89" s="28">
        <v>0</v>
      </c>
      <c r="E89" s="28">
        <v>41</v>
      </c>
      <c r="G89" s="27" t="s">
        <v>13</v>
      </c>
      <c r="H89" s="28">
        <v>6</v>
      </c>
      <c r="I89" s="28">
        <v>-3</v>
      </c>
      <c r="J89" s="28">
        <v>31</v>
      </c>
      <c r="M89" s="27" t="s">
        <v>13</v>
      </c>
      <c r="N89" s="28">
        <v>6</v>
      </c>
      <c r="O89" s="28">
        <v>0</v>
      </c>
      <c r="P89" s="28">
        <v>25</v>
      </c>
      <c r="S89" s="27" t="s">
        <v>13</v>
      </c>
      <c r="T89" s="28">
        <v>4</v>
      </c>
      <c r="U89" s="28">
        <v>0</v>
      </c>
      <c r="V89" s="28">
        <v>14.86</v>
      </c>
      <c r="AC89" s="27" t="s">
        <v>13</v>
      </c>
      <c r="AE89" s="125">
        <f t="shared" si="11"/>
        <v>6</v>
      </c>
      <c r="AF89" s="125">
        <f t="shared" si="12"/>
        <v>-0.75</v>
      </c>
      <c r="AG89" s="125">
        <f t="shared" si="13"/>
        <v>27.965</v>
      </c>
    </row>
    <row r="90" spans="1:33" x14ac:dyDescent="0.25">
      <c r="A90" s="27" t="s">
        <v>36</v>
      </c>
      <c r="B90" s="27"/>
      <c r="C90" s="28">
        <v>30</v>
      </c>
      <c r="D90" s="28">
        <v>38</v>
      </c>
      <c r="E90" s="28">
        <v>209.86</v>
      </c>
      <c r="G90" s="27" t="s">
        <v>36</v>
      </c>
      <c r="H90" s="28">
        <v>31</v>
      </c>
      <c r="I90" s="28">
        <v>17.71</v>
      </c>
      <c r="J90" s="28">
        <v>197.43</v>
      </c>
      <c r="M90" s="27" t="s">
        <v>36</v>
      </c>
      <c r="N90" s="28">
        <v>32</v>
      </c>
      <c r="O90" s="28">
        <v>21</v>
      </c>
      <c r="P90" s="28">
        <v>187</v>
      </c>
      <c r="S90" s="27" t="s">
        <v>36</v>
      </c>
      <c r="T90" s="28">
        <v>29</v>
      </c>
      <c r="U90" s="28">
        <v>5</v>
      </c>
      <c r="V90" s="28">
        <v>162.71</v>
      </c>
      <c r="AC90" s="27" t="s">
        <v>36</v>
      </c>
      <c r="AE90" s="125">
        <f t="shared" si="11"/>
        <v>30.5</v>
      </c>
      <c r="AF90" s="125">
        <f t="shared" si="12"/>
        <v>20.427500000000002</v>
      </c>
      <c r="AG90" s="125">
        <f t="shared" si="13"/>
        <v>189.25000000000003</v>
      </c>
    </row>
    <row r="91" spans="1:33" x14ac:dyDescent="0.25">
      <c r="A91" s="27" t="s">
        <v>37</v>
      </c>
      <c r="B91" s="27"/>
      <c r="C91" s="28">
        <v>23</v>
      </c>
      <c r="D91" s="28">
        <v>34.14</v>
      </c>
      <c r="E91" s="28">
        <v>240.86</v>
      </c>
      <c r="G91" s="27" t="s">
        <v>37</v>
      </c>
      <c r="H91" s="28">
        <v>24</v>
      </c>
      <c r="I91" s="28">
        <v>20.57</v>
      </c>
      <c r="J91" s="28">
        <v>236.71</v>
      </c>
      <c r="M91" s="27" t="s">
        <v>37</v>
      </c>
      <c r="N91" s="28">
        <v>23</v>
      </c>
      <c r="O91" s="28">
        <v>9.86</v>
      </c>
      <c r="P91" s="28">
        <v>222.43</v>
      </c>
      <c r="S91" s="27" t="s">
        <v>37</v>
      </c>
      <c r="T91" s="28">
        <v>27</v>
      </c>
      <c r="U91" s="28">
        <v>12</v>
      </c>
      <c r="V91" s="28">
        <v>206.71</v>
      </c>
      <c r="AC91" s="27" t="s">
        <v>37</v>
      </c>
      <c r="AE91" s="125">
        <f t="shared" si="11"/>
        <v>24.25</v>
      </c>
      <c r="AF91" s="125">
        <f t="shared" si="12"/>
        <v>19.142499999999998</v>
      </c>
      <c r="AG91" s="125">
        <f t="shared" si="13"/>
        <v>226.67750000000001</v>
      </c>
    </row>
    <row r="92" spans="1:33" x14ac:dyDescent="0.25">
      <c r="A92" s="27" t="s">
        <v>11</v>
      </c>
      <c r="B92" s="27"/>
      <c r="C92" s="28">
        <v>34</v>
      </c>
      <c r="D92" s="28">
        <v>11.29</v>
      </c>
      <c r="E92" s="28">
        <v>230.43</v>
      </c>
      <c r="G92" s="27" t="s">
        <v>11</v>
      </c>
      <c r="H92" s="28">
        <v>30</v>
      </c>
      <c r="I92" s="28">
        <v>38</v>
      </c>
      <c r="J92" s="28">
        <v>238.86</v>
      </c>
      <c r="M92" s="27" t="s">
        <v>11</v>
      </c>
      <c r="N92" s="28">
        <v>30</v>
      </c>
      <c r="O92" s="28">
        <v>41</v>
      </c>
      <c r="P92" s="28">
        <v>250.86</v>
      </c>
      <c r="S92" s="27" t="s">
        <v>11</v>
      </c>
      <c r="T92" s="28">
        <v>34</v>
      </c>
      <c r="U92" s="28">
        <v>30.57</v>
      </c>
      <c r="V92" s="28">
        <v>247.86</v>
      </c>
      <c r="AC92" s="27" t="s">
        <v>11</v>
      </c>
      <c r="AE92" s="125">
        <f t="shared" si="11"/>
        <v>32</v>
      </c>
      <c r="AF92" s="125">
        <f t="shared" si="12"/>
        <v>30.214999999999996</v>
      </c>
      <c r="AG92" s="125">
        <f t="shared" si="13"/>
        <v>242.0025</v>
      </c>
    </row>
    <row r="93" spans="1:33" x14ac:dyDescent="0.25">
      <c r="A93" s="27" t="s">
        <v>9</v>
      </c>
      <c r="B93" s="27"/>
      <c r="C93" s="28">
        <v>39</v>
      </c>
      <c r="D93" s="28">
        <v>9.57</v>
      </c>
      <c r="E93" s="28">
        <v>231</v>
      </c>
      <c r="G93" s="27" t="s">
        <v>9</v>
      </c>
      <c r="H93" s="28">
        <v>35</v>
      </c>
      <c r="I93" s="28">
        <v>34.71</v>
      </c>
      <c r="J93" s="28">
        <v>230.43</v>
      </c>
      <c r="M93" s="27" t="s">
        <v>9</v>
      </c>
      <c r="N93" s="28">
        <v>34</v>
      </c>
      <c r="O93" s="28">
        <v>21.71</v>
      </c>
      <c r="P93" s="28">
        <v>219.14</v>
      </c>
      <c r="S93" s="27" t="s">
        <v>9</v>
      </c>
      <c r="T93" s="28">
        <v>28</v>
      </c>
      <c r="U93" s="28">
        <v>33.14</v>
      </c>
      <c r="V93" s="28">
        <v>223.14</v>
      </c>
      <c r="AC93" s="27" t="s">
        <v>9</v>
      </c>
      <c r="AE93" s="125">
        <f t="shared" si="11"/>
        <v>34</v>
      </c>
      <c r="AF93" s="125">
        <f t="shared" si="12"/>
        <v>24.782499999999999</v>
      </c>
      <c r="AG93" s="125">
        <f t="shared" si="13"/>
        <v>225.92750000000001</v>
      </c>
    </row>
    <row r="94" spans="1:33" x14ac:dyDescent="0.25">
      <c r="A94" s="27" t="s">
        <v>12</v>
      </c>
      <c r="B94" s="27"/>
      <c r="C94" s="28">
        <v>30</v>
      </c>
      <c r="D94" s="28">
        <v>26.86</v>
      </c>
      <c r="E94" s="28">
        <v>253</v>
      </c>
      <c r="G94" s="27" t="s">
        <v>12</v>
      </c>
      <c r="H94" s="28">
        <v>31</v>
      </c>
      <c r="I94" s="28">
        <v>31.86</v>
      </c>
      <c r="J94" s="28">
        <v>254.14</v>
      </c>
      <c r="M94" s="27" t="s">
        <v>12</v>
      </c>
      <c r="N94" s="28">
        <v>27</v>
      </c>
      <c r="O94" s="28">
        <v>-5.29</v>
      </c>
      <c r="P94" s="28">
        <v>222.43</v>
      </c>
      <c r="S94" s="27" t="s">
        <v>12</v>
      </c>
      <c r="T94" s="28">
        <v>25</v>
      </c>
      <c r="U94" s="28">
        <v>19.57</v>
      </c>
      <c r="V94" s="28">
        <v>216.86</v>
      </c>
      <c r="AC94" s="27" t="s">
        <v>12</v>
      </c>
      <c r="AE94" s="125">
        <f t="shared" si="11"/>
        <v>28.25</v>
      </c>
      <c r="AF94" s="125">
        <f t="shared" si="12"/>
        <v>18.25</v>
      </c>
      <c r="AG94" s="125">
        <f t="shared" si="13"/>
        <v>236.60750000000002</v>
      </c>
    </row>
    <row r="95" spans="1:33" x14ac:dyDescent="0.25">
      <c r="A95" s="27" t="s">
        <v>10</v>
      </c>
      <c r="B95" s="27"/>
      <c r="C95" s="28">
        <v>21</v>
      </c>
      <c r="D95" s="28">
        <v>11.71</v>
      </c>
      <c r="E95" s="28">
        <v>162.57</v>
      </c>
      <c r="G95" s="27" t="s">
        <v>10</v>
      </c>
      <c r="H95" s="28">
        <v>19</v>
      </c>
      <c r="I95" s="28">
        <v>10.29</v>
      </c>
      <c r="J95" s="28">
        <v>152.71</v>
      </c>
      <c r="M95" s="27" t="s">
        <v>10</v>
      </c>
      <c r="N95" s="28">
        <v>20</v>
      </c>
      <c r="O95" s="28">
        <v>67.14</v>
      </c>
      <c r="P95" s="28">
        <v>199.29</v>
      </c>
      <c r="S95" s="27" t="s">
        <v>10</v>
      </c>
      <c r="T95" s="28">
        <v>20</v>
      </c>
      <c r="U95" s="28">
        <v>11</v>
      </c>
      <c r="V95" s="28">
        <v>188.86</v>
      </c>
      <c r="AC95" s="27" t="s">
        <v>10</v>
      </c>
      <c r="AE95" s="125">
        <f t="shared" si="11"/>
        <v>20</v>
      </c>
      <c r="AF95" s="125">
        <f t="shared" si="12"/>
        <v>25.035000000000004</v>
      </c>
      <c r="AG95" s="125">
        <f t="shared" si="13"/>
        <v>175.85750000000002</v>
      </c>
    </row>
    <row r="96" spans="1:33" x14ac:dyDescent="0.25">
      <c r="A96" s="27" t="s">
        <v>19</v>
      </c>
      <c r="B96" s="27"/>
      <c r="C96" s="28">
        <v>7</v>
      </c>
      <c r="D96" s="28">
        <v>6.71</v>
      </c>
      <c r="E96" s="28">
        <v>80</v>
      </c>
      <c r="G96" s="27" t="s">
        <v>19</v>
      </c>
      <c r="H96" s="28">
        <v>9</v>
      </c>
      <c r="I96" s="28">
        <v>14.43</v>
      </c>
      <c r="J96" s="28">
        <v>85.43</v>
      </c>
      <c r="M96" s="27" t="s">
        <v>19</v>
      </c>
      <c r="N96" s="28">
        <v>12</v>
      </c>
      <c r="O96" s="28">
        <v>14.57</v>
      </c>
      <c r="P96" s="28">
        <v>89.71</v>
      </c>
      <c r="S96" s="27" t="s">
        <v>19</v>
      </c>
      <c r="T96" s="28">
        <v>11</v>
      </c>
      <c r="U96" s="28">
        <v>39.14</v>
      </c>
      <c r="V96" s="28">
        <v>125</v>
      </c>
      <c r="AC96" s="27" t="s">
        <v>19</v>
      </c>
      <c r="AE96" s="125">
        <f t="shared" si="11"/>
        <v>9.75</v>
      </c>
      <c r="AF96" s="125">
        <f t="shared" si="12"/>
        <v>18.712499999999999</v>
      </c>
      <c r="AG96" s="125">
        <f t="shared" si="13"/>
        <v>95.034999999999997</v>
      </c>
    </row>
    <row r="97" spans="1:33" x14ac:dyDescent="0.25">
      <c r="A97" s="2" t="s">
        <v>38</v>
      </c>
      <c r="B97" s="2"/>
      <c r="C97" s="7">
        <v>6</v>
      </c>
      <c r="D97" s="7">
        <v>5</v>
      </c>
      <c r="E97" s="7">
        <v>63.29</v>
      </c>
      <c r="G97" s="2" t="s">
        <v>38</v>
      </c>
      <c r="H97" s="7">
        <v>6</v>
      </c>
      <c r="I97" s="7">
        <v>6</v>
      </c>
      <c r="J97" s="7">
        <v>63.71</v>
      </c>
      <c r="M97" s="2" t="s">
        <v>38</v>
      </c>
      <c r="N97" s="7">
        <v>7</v>
      </c>
      <c r="O97" s="7">
        <v>6</v>
      </c>
      <c r="P97" s="7">
        <v>62.71</v>
      </c>
      <c r="S97" s="2" t="s">
        <v>38</v>
      </c>
      <c r="T97" s="7">
        <v>7</v>
      </c>
      <c r="U97" s="7">
        <v>0.56999999999999995</v>
      </c>
      <c r="V97" s="7">
        <v>56.29</v>
      </c>
      <c r="AC97" s="127" t="s">
        <v>696</v>
      </c>
      <c r="AE97" s="230">
        <f>AVERAGE(AE81:AE96)</f>
        <v>22.078125</v>
      </c>
      <c r="AF97" s="230">
        <f>AVERAGE(AF81:AF96)</f>
        <v>17.635625000000001</v>
      </c>
      <c r="AG97" s="230">
        <f t="shared" ref="AG97" si="14">AVERAGE(AG81:AG96)</f>
        <v>166.63421875</v>
      </c>
    </row>
    <row r="98" spans="1:33" x14ac:dyDescent="0.25">
      <c r="A98" s="72" t="s">
        <v>39</v>
      </c>
      <c r="B98" s="6"/>
      <c r="C98" s="8">
        <f>SUM(C81:C97)</f>
        <v>367</v>
      </c>
      <c r="D98" s="8">
        <f>SUM(D81:D97)</f>
        <v>223.13</v>
      </c>
      <c r="E98" s="8">
        <f>SUM(E81:E97)</f>
        <v>2798.3000000000006</v>
      </c>
      <c r="G98" s="72" t="s">
        <v>39</v>
      </c>
      <c r="H98" s="8">
        <f>SUM(H81:H97)</f>
        <v>357</v>
      </c>
      <c r="I98" s="8">
        <f>SUM(I81:I97)</f>
        <v>286.85000000000002</v>
      </c>
      <c r="J98" s="8">
        <f>SUM(J81:J97)</f>
        <v>2730.27</v>
      </c>
      <c r="M98" s="72" t="s">
        <v>39</v>
      </c>
      <c r="N98" s="8">
        <f>SUM(N81:N97)</f>
        <v>360</v>
      </c>
      <c r="O98" s="8">
        <f>SUM(O81:O97)</f>
        <v>333.56</v>
      </c>
      <c r="P98" s="8">
        <f>SUM(P81:P97)</f>
        <v>2712.0099999999998</v>
      </c>
      <c r="S98" s="72" t="s">
        <v>39</v>
      </c>
      <c r="T98" s="8">
        <f>SUM(T81:T97)</f>
        <v>355</v>
      </c>
      <c r="U98" s="8">
        <f>SUM(U81:U97)</f>
        <v>302.70999999999992</v>
      </c>
      <c r="V98" s="8">
        <f>SUM(V81:V97)</f>
        <v>2670.01</v>
      </c>
    </row>
    <row r="99" spans="1:33" x14ac:dyDescent="0.25">
      <c r="A99" s="72">
        <v>1</v>
      </c>
      <c r="B99" s="6"/>
      <c r="C99" s="53">
        <f>SUM(C81:C88)</f>
        <v>169</v>
      </c>
      <c r="D99" s="53">
        <f>SUM(D81:D88)</f>
        <v>79.850000000000009</v>
      </c>
      <c r="E99" s="53">
        <f>SUM(E81:E88)</f>
        <v>1286.29</v>
      </c>
      <c r="G99" s="72">
        <v>1</v>
      </c>
      <c r="H99" s="53">
        <f>SUM(H81:H88)</f>
        <v>166</v>
      </c>
      <c r="I99" s="53">
        <f>SUM(I81:I88)</f>
        <v>116.28</v>
      </c>
      <c r="J99" s="53">
        <f>SUM(J81:J88)</f>
        <v>1239.8500000000001</v>
      </c>
      <c r="M99" s="72">
        <v>1</v>
      </c>
      <c r="N99" s="53">
        <f>SUM(N81:N88)</f>
        <v>169</v>
      </c>
      <c r="O99" s="53">
        <f>SUM(O81:O88)</f>
        <v>157.57</v>
      </c>
      <c r="P99" s="53">
        <f>SUM(P81:P88)</f>
        <v>1233.44</v>
      </c>
      <c r="S99" s="72">
        <v>1</v>
      </c>
      <c r="T99" s="53">
        <f>SUM(T81:T88)</f>
        <v>170</v>
      </c>
      <c r="U99" s="52">
        <f>SUM(U81:U88)</f>
        <v>151.71999999999997</v>
      </c>
      <c r="V99" s="53">
        <f>SUM(V81:V88)</f>
        <v>1227.72</v>
      </c>
    </row>
    <row r="100" spans="1:33" x14ac:dyDescent="0.25">
      <c r="A100" s="72">
        <v>2</v>
      </c>
      <c r="B100" s="6"/>
      <c r="C100" s="52">
        <f>SUM(C89:C96)</f>
        <v>192</v>
      </c>
      <c r="D100" s="52">
        <f>SUM(D89:D96)</f>
        <v>138.28</v>
      </c>
      <c r="E100" s="52">
        <f>SUM(E89:E96)</f>
        <v>1448.72</v>
      </c>
      <c r="G100" s="72">
        <v>2</v>
      </c>
      <c r="H100" s="52">
        <f>SUM(H89:H96)</f>
        <v>185</v>
      </c>
      <c r="I100" s="52">
        <f>SUM(I89:I96)</f>
        <v>164.57000000000002</v>
      </c>
      <c r="J100" s="52">
        <f>SUM(J89:J96)</f>
        <v>1426.7100000000003</v>
      </c>
      <c r="M100" s="72">
        <v>2</v>
      </c>
      <c r="N100" s="52">
        <f>SUM(N89:N96)</f>
        <v>184</v>
      </c>
      <c r="O100" s="52">
        <f>SUM(O89:O96)</f>
        <v>169.98999999999998</v>
      </c>
      <c r="P100" s="52">
        <f>SUM(P89:P96)</f>
        <v>1415.86</v>
      </c>
      <c r="S100" s="72">
        <v>2</v>
      </c>
      <c r="T100" s="52">
        <f>SUM(T89:T96)</f>
        <v>178</v>
      </c>
      <c r="U100" s="53">
        <f>SUM(U89:U96)</f>
        <v>150.42000000000002</v>
      </c>
      <c r="V100" s="52">
        <f>SUM(V89:V96)</f>
        <v>1386</v>
      </c>
    </row>
    <row r="101" spans="1:33" ht="30" x14ac:dyDescent="0.25">
      <c r="A101" s="68" t="s">
        <v>50</v>
      </c>
      <c r="B101" s="87"/>
      <c r="C101" s="66"/>
      <c r="D101" s="66">
        <v>55</v>
      </c>
      <c r="E101" s="67">
        <f>SUM(D98/D101)</f>
        <v>4.056909090909091</v>
      </c>
      <c r="G101" s="68" t="s">
        <v>50</v>
      </c>
      <c r="H101" s="66"/>
      <c r="I101" s="66">
        <v>81</v>
      </c>
      <c r="J101" s="67">
        <f>SUM(I98/I101)</f>
        <v>3.5413580246913585</v>
      </c>
      <c r="M101" s="68" t="s">
        <v>50</v>
      </c>
      <c r="N101" s="66"/>
      <c r="O101" s="75">
        <v>170</v>
      </c>
      <c r="P101" s="67">
        <f>SUM(O98/O101)</f>
        <v>1.9621176470588235</v>
      </c>
      <c r="S101" s="68" t="s">
        <v>50</v>
      </c>
      <c r="T101" s="66"/>
      <c r="U101" s="66">
        <v>48</v>
      </c>
      <c r="V101" s="67">
        <f>SUM(U98/U101)</f>
        <v>6.3064583333333317</v>
      </c>
    </row>
    <row r="102" spans="1:33" x14ac:dyDescent="0.25">
      <c r="A102" s="72" t="s">
        <v>49</v>
      </c>
      <c r="B102" s="6"/>
      <c r="C102" s="8"/>
      <c r="D102" s="8"/>
      <c r="E102" s="8"/>
      <c r="G102" s="72" t="s">
        <v>49</v>
      </c>
      <c r="H102" s="8"/>
      <c r="I102" s="8"/>
      <c r="J102" s="8"/>
      <c r="M102" s="72" t="s">
        <v>49</v>
      </c>
      <c r="N102" s="8"/>
      <c r="O102" s="8"/>
      <c r="P102" s="8"/>
      <c r="S102" s="72" t="s">
        <v>49</v>
      </c>
      <c r="T102" s="8"/>
      <c r="U102" s="8"/>
      <c r="V102" s="8"/>
    </row>
    <row r="103" spans="1:33" x14ac:dyDescent="0.25">
      <c r="A103" s="72" t="s">
        <v>40</v>
      </c>
      <c r="B103" s="6"/>
      <c r="C103" s="8"/>
      <c r="D103" s="8"/>
      <c r="E103" s="8"/>
      <c r="G103" s="72" t="s">
        <v>40</v>
      </c>
      <c r="H103" s="8"/>
      <c r="I103" s="8"/>
      <c r="J103" s="8"/>
      <c r="M103" s="72" t="s">
        <v>40</v>
      </c>
      <c r="N103" s="8"/>
      <c r="O103" s="8"/>
      <c r="P103" s="8"/>
      <c r="S103" s="72" t="s">
        <v>40</v>
      </c>
      <c r="T103" s="8"/>
      <c r="U103" s="8"/>
      <c r="V103" s="8"/>
    </row>
    <row r="104" spans="1:33" x14ac:dyDescent="0.25">
      <c r="A104" s="72" t="s">
        <v>41</v>
      </c>
      <c r="B104" s="6"/>
      <c r="C104" s="12">
        <f>C103-C98</f>
        <v>-367</v>
      </c>
      <c r="D104" s="12">
        <f>D103-D98</f>
        <v>-223.13</v>
      </c>
      <c r="E104" s="12">
        <f>E103-E98</f>
        <v>-2798.3000000000006</v>
      </c>
      <c r="G104" s="72" t="s">
        <v>41</v>
      </c>
      <c r="H104" s="12">
        <f>H103-H98</f>
        <v>-357</v>
      </c>
      <c r="I104" s="12">
        <f>I103-I98</f>
        <v>-286.85000000000002</v>
      </c>
      <c r="J104" s="12">
        <f>J103-J98</f>
        <v>-2730.27</v>
      </c>
      <c r="M104" s="72" t="s">
        <v>41</v>
      </c>
      <c r="N104" s="12">
        <f>N103-N98</f>
        <v>-360</v>
      </c>
      <c r="O104" s="12">
        <f>O103-O98</f>
        <v>-333.56</v>
      </c>
      <c r="P104" s="12">
        <f>P103-P98</f>
        <v>-2712.0099999999998</v>
      </c>
      <c r="S104" s="72" t="s">
        <v>41</v>
      </c>
      <c r="T104" s="12">
        <f>T103-T98</f>
        <v>-355</v>
      </c>
      <c r="U104" s="12">
        <f>U103-U98</f>
        <v>-302.70999999999992</v>
      </c>
      <c r="V104" s="12">
        <f>V103-V98</f>
        <v>-2670.01</v>
      </c>
    </row>
    <row r="106" spans="1:33" ht="18.75" x14ac:dyDescent="0.3">
      <c r="A106" s="69" t="s">
        <v>59</v>
      </c>
      <c r="B106" s="4"/>
      <c r="C106" s="10"/>
      <c r="D106" s="10"/>
      <c r="E106" s="10"/>
      <c r="G106" s="69" t="s">
        <v>60</v>
      </c>
      <c r="H106" s="10"/>
      <c r="I106" s="10"/>
      <c r="J106" s="10"/>
      <c r="M106" s="69" t="s">
        <v>61</v>
      </c>
      <c r="N106" s="10"/>
      <c r="O106" s="10"/>
      <c r="P106" s="10"/>
      <c r="S106" s="69" t="s">
        <v>62</v>
      </c>
      <c r="T106" s="10"/>
      <c r="U106" s="10"/>
      <c r="V106" s="10"/>
      <c r="X106" s="69" t="s">
        <v>63</v>
      </c>
      <c r="Y106" s="10"/>
      <c r="Z106" s="10"/>
      <c r="AA106" s="10"/>
    </row>
    <row r="107" spans="1:33" ht="45" x14ac:dyDescent="0.25">
      <c r="A107" s="70"/>
      <c r="B107" s="70"/>
      <c r="C107" s="71" t="s">
        <v>26</v>
      </c>
      <c r="D107" s="71" t="s">
        <v>27</v>
      </c>
      <c r="E107" s="71" t="s">
        <v>28</v>
      </c>
      <c r="G107" s="70"/>
      <c r="H107" s="71" t="s">
        <v>26</v>
      </c>
      <c r="I107" s="71" t="s">
        <v>27</v>
      </c>
      <c r="J107" s="71" t="s">
        <v>28</v>
      </c>
      <c r="M107" s="70"/>
      <c r="N107" s="71" t="s">
        <v>26</v>
      </c>
      <c r="O107" s="71" t="s">
        <v>27</v>
      </c>
      <c r="P107" s="71" t="s">
        <v>28</v>
      </c>
      <c r="S107" s="70"/>
      <c r="T107" s="71" t="s">
        <v>26</v>
      </c>
      <c r="U107" s="71" t="s">
        <v>27</v>
      </c>
      <c r="V107" s="71" t="s">
        <v>28</v>
      </c>
      <c r="X107" s="70"/>
      <c r="Y107" s="71" t="s">
        <v>26</v>
      </c>
      <c r="Z107" s="71" t="s">
        <v>27</v>
      </c>
      <c r="AA107" s="71" t="s">
        <v>28</v>
      </c>
      <c r="AC107" s="124" t="s">
        <v>685</v>
      </c>
      <c r="AE107" s="71" t="s">
        <v>26</v>
      </c>
      <c r="AF107" s="71" t="s">
        <v>1023</v>
      </c>
      <c r="AG107" s="71" t="s">
        <v>28</v>
      </c>
    </row>
    <row r="108" spans="1:33" x14ac:dyDescent="0.25">
      <c r="A108" s="74" t="s">
        <v>29</v>
      </c>
      <c r="B108" s="74"/>
      <c r="C108" s="24">
        <v>40</v>
      </c>
      <c r="D108" s="24">
        <v>37.57</v>
      </c>
      <c r="E108" s="24">
        <v>307.14</v>
      </c>
      <c r="G108" s="74" t="s">
        <v>29</v>
      </c>
      <c r="H108" s="24">
        <v>38</v>
      </c>
      <c r="I108" s="24">
        <v>1.29</v>
      </c>
      <c r="J108" s="24">
        <v>271</v>
      </c>
      <c r="M108" s="74" t="s">
        <v>29</v>
      </c>
      <c r="N108" s="24">
        <v>41</v>
      </c>
      <c r="O108" s="24">
        <v>32.43</v>
      </c>
      <c r="P108" s="24">
        <v>264.29000000000002</v>
      </c>
      <c r="S108" s="74" t="s">
        <v>29</v>
      </c>
      <c r="T108" s="24">
        <v>37</v>
      </c>
      <c r="U108" s="24">
        <v>5.14</v>
      </c>
      <c r="V108" s="24">
        <v>233</v>
      </c>
      <c r="X108" s="74" t="s">
        <v>29</v>
      </c>
      <c r="Y108" s="24">
        <v>36</v>
      </c>
      <c r="Z108" s="24">
        <v>27.29</v>
      </c>
      <c r="AA108" s="24">
        <v>281.29000000000002</v>
      </c>
      <c r="AC108" s="74" t="s">
        <v>29</v>
      </c>
      <c r="AE108" s="24">
        <f>AVERAGE(Y108,T108,N108,H108,C108)</f>
        <v>38.4</v>
      </c>
      <c r="AF108" s="24">
        <f>AVERAGE(Z108,U108,O108,I108,D108)</f>
        <v>20.744</v>
      </c>
      <c r="AG108" s="24">
        <f>AVERAGE(AA108,V108,P108,J108,E108)</f>
        <v>271.34399999999994</v>
      </c>
    </row>
    <row r="109" spans="1:33" x14ac:dyDescent="0.25">
      <c r="A109" s="74" t="s">
        <v>33</v>
      </c>
      <c r="B109" s="74"/>
      <c r="C109" s="24">
        <v>4</v>
      </c>
      <c r="D109" s="24">
        <v>0</v>
      </c>
      <c r="E109" s="24">
        <v>11.86</v>
      </c>
      <c r="G109" s="74" t="s">
        <v>33</v>
      </c>
      <c r="H109" s="24">
        <v>3</v>
      </c>
      <c r="I109" s="24">
        <v>0</v>
      </c>
      <c r="J109" s="24">
        <v>8.7100000000000009</v>
      </c>
      <c r="M109" s="74" t="s">
        <v>33</v>
      </c>
      <c r="N109" s="24">
        <v>3</v>
      </c>
      <c r="O109" s="24">
        <v>0</v>
      </c>
      <c r="P109" s="24">
        <v>5.71</v>
      </c>
      <c r="S109" s="74" t="s">
        <v>445</v>
      </c>
      <c r="T109" s="24">
        <v>2</v>
      </c>
      <c r="U109" s="24">
        <v>3.29</v>
      </c>
      <c r="V109" s="24">
        <v>3.71</v>
      </c>
      <c r="X109" s="74" t="s">
        <v>445</v>
      </c>
      <c r="Y109" s="24">
        <v>2</v>
      </c>
      <c r="Z109" s="24">
        <v>15</v>
      </c>
      <c r="AA109" s="24">
        <v>19.14</v>
      </c>
      <c r="AC109" s="74" t="s">
        <v>445</v>
      </c>
      <c r="AE109" s="24">
        <f t="shared" ref="AE109:AE122" si="15">AVERAGE(Y109,T109,N109,H109,C109)</f>
        <v>2.8</v>
      </c>
      <c r="AF109" s="24">
        <f t="shared" ref="AF109:AF123" si="16">AVERAGE(Z109,U109,O109,I109,D109)</f>
        <v>3.6579999999999999</v>
      </c>
      <c r="AG109" s="24">
        <f t="shared" ref="AG109:AG123" si="17">AVERAGE(AA109,V109,P109,J109,E109)</f>
        <v>9.8260000000000005</v>
      </c>
    </row>
    <row r="110" spans="1:33" x14ac:dyDescent="0.25">
      <c r="A110" s="74" t="s">
        <v>30</v>
      </c>
      <c r="B110" s="74"/>
      <c r="C110" s="24">
        <v>21</v>
      </c>
      <c r="D110" s="24">
        <v>4.71</v>
      </c>
      <c r="E110" s="24">
        <v>154.57</v>
      </c>
      <c r="G110" s="74" t="s">
        <v>30</v>
      </c>
      <c r="H110" s="24">
        <v>16</v>
      </c>
      <c r="I110" s="24">
        <v>-1.57</v>
      </c>
      <c r="J110" s="24">
        <v>139</v>
      </c>
      <c r="M110" s="74" t="s">
        <v>30</v>
      </c>
      <c r="N110" s="24">
        <v>17</v>
      </c>
      <c r="O110" s="24">
        <v>1.29</v>
      </c>
      <c r="P110" s="24">
        <v>120.29</v>
      </c>
      <c r="S110" s="74" t="s">
        <v>30</v>
      </c>
      <c r="T110" s="24">
        <v>18</v>
      </c>
      <c r="U110" s="24">
        <v>12.14</v>
      </c>
      <c r="V110" s="24">
        <v>115.43</v>
      </c>
      <c r="X110" s="74" t="s">
        <v>30</v>
      </c>
      <c r="Y110" s="24">
        <v>19</v>
      </c>
      <c r="Z110" s="24">
        <v>7</v>
      </c>
      <c r="AA110" s="24">
        <v>103.57</v>
      </c>
      <c r="AC110" s="74" t="s">
        <v>30</v>
      </c>
      <c r="AE110" s="24">
        <f t="shared" si="15"/>
        <v>18.2</v>
      </c>
      <c r="AF110" s="24">
        <f t="shared" si="16"/>
        <v>4.7140000000000004</v>
      </c>
      <c r="AG110" s="24">
        <f t="shared" si="17"/>
        <v>126.572</v>
      </c>
    </row>
    <row r="111" spans="1:33" x14ac:dyDescent="0.25">
      <c r="A111" s="74" t="s">
        <v>31</v>
      </c>
      <c r="B111" s="74"/>
      <c r="C111" s="24">
        <v>26</v>
      </c>
      <c r="D111" s="24">
        <v>29</v>
      </c>
      <c r="E111" s="24">
        <v>218.29</v>
      </c>
      <c r="G111" s="74" t="s">
        <v>31</v>
      </c>
      <c r="H111" s="24">
        <v>30</v>
      </c>
      <c r="I111" s="24">
        <v>18.43</v>
      </c>
      <c r="J111" s="24">
        <v>207.57</v>
      </c>
      <c r="M111" s="74" t="s">
        <v>31</v>
      </c>
      <c r="N111" s="24">
        <v>31</v>
      </c>
      <c r="O111" s="24">
        <v>15.86</v>
      </c>
      <c r="P111" s="24">
        <v>193.29</v>
      </c>
      <c r="S111" s="74" t="s">
        <v>31</v>
      </c>
      <c r="T111" s="24">
        <v>30</v>
      </c>
      <c r="U111" s="24">
        <v>18.86</v>
      </c>
      <c r="V111" s="24">
        <v>190.86</v>
      </c>
      <c r="X111" s="74" t="s">
        <v>31</v>
      </c>
      <c r="Y111" s="24">
        <v>26</v>
      </c>
      <c r="Z111" s="24">
        <v>50.29</v>
      </c>
      <c r="AA111" s="24">
        <v>215.29</v>
      </c>
      <c r="AC111" s="74" t="s">
        <v>31</v>
      </c>
      <c r="AE111" s="24">
        <f t="shared" si="15"/>
        <v>28.6</v>
      </c>
      <c r="AF111" s="24">
        <f t="shared" si="16"/>
        <v>26.488</v>
      </c>
      <c r="AG111" s="24">
        <f t="shared" si="17"/>
        <v>205.06</v>
      </c>
    </row>
    <row r="112" spans="1:33" x14ac:dyDescent="0.25">
      <c r="A112" s="74" t="s">
        <v>32</v>
      </c>
      <c r="B112" s="74"/>
      <c r="C112" s="24">
        <v>21</v>
      </c>
      <c r="D112" s="24">
        <v>12</v>
      </c>
      <c r="E112" s="24">
        <v>173.86</v>
      </c>
      <c r="G112" s="74" t="s">
        <v>32</v>
      </c>
      <c r="H112" s="24">
        <v>21</v>
      </c>
      <c r="I112" s="24">
        <v>0</v>
      </c>
      <c r="J112" s="24">
        <v>155</v>
      </c>
      <c r="M112" s="74" t="s">
        <v>32</v>
      </c>
      <c r="N112" s="24">
        <v>21</v>
      </c>
      <c r="O112" s="24">
        <v>8.43</v>
      </c>
      <c r="P112" s="24">
        <v>142.43</v>
      </c>
      <c r="S112" s="74" t="s">
        <v>32</v>
      </c>
      <c r="T112" s="24">
        <v>21</v>
      </c>
      <c r="U112" s="24">
        <v>40.29</v>
      </c>
      <c r="V112" s="24">
        <v>163.29</v>
      </c>
      <c r="X112" s="74" t="s">
        <v>32</v>
      </c>
      <c r="Y112" s="24">
        <v>21</v>
      </c>
      <c r="Z112" s="24">
        <v>24.14</v>
      </c>
      <c r="AA112" s="24">
        <v>162.57</v>
      </c>
      <c r="AC112" s="74" t="s">
        <v>32</v>
      </c>
      <c r="AE112" s="24">
        <f t="shared" si="15"/>
        <v>21</v>
      </c>
      <c r="AF112" s="24">
        <f t="shared" si="16"/>
        <v>16.972000000000001</v>
      </c>
      <c r="AG112" s="24">
        <f t="shared" si="17"/>
        <v>159.43</v>
      </c>
    </row>
    <row r="113" spans="1:34" x14ac:dyDescent="0.25">
      <c r="A113" s="74" t="s">
        <v>394</v>
      </c>
      <c r="B113" s="74"/>
      <c r="C113" s="24">
        <v>0</v>
      </c>
      <c r="D113" s="24">
        <v>3.29</v>
      </c>
      <c r="E113" s="24">
        <v>3.29</v>
      </c>
      <c r="G113" s="74" t="s">
        <v>34</v>
      </c>
      <c r="H113" s="24">
        <v>4</v>
      </c>
      <c r="I113" s="24">
        <v>2</v>
      </c>
      <c r="J113" s="24">
        <v>24.43</v>
      </c>
      <c r="M113" s="74" t="s">
        <v>425</v>
      </c>
      <c r="N113" s="24">
        <v>4</v>
      </c>
      <c r="O113" s="24">
        <v>0</v>
      </c>
      <c r="P113" s="24">
        <v>24.15</v>
      </c>
      <c r="S113" s="74" t="s">
        <v>34</v>
      </c>
      <c r="T113" s="24">
        <v>3</v>
      </c>
      <c r="U113" s="24">
        <v>0</v>
      </c>
      <c r="V113" s="24">
        <v>17.86</v>
      </c>
      <c r="X113" s="74" t="s">
        <v>34</v>
      </c>
      <c r="Y113" s="24">
        <v>2</v>
      </c>
      <c r="Z113" s="24">
        <v>0</v>
      </c>
      <c r="AA113" s="24">
        <v>2</v>
      </c>
      <c r="AC113" s="74" t="s">
        <v>34</v>
      </c>
      <c r="AE113" s="24">
        <f t="shared" si="15"/>
        <v>2.6</v>
      </c>
      <c r="AF113" s="24">
        <f t="shared" si="16"/>
        <v>1.0580000000000001</v>
      </c>
      <c r="AG113" s="24">
        <f t="shared" si="17"/>
        <v>14.346</v>
      </c>
    </row>
    <row r="114" spans="1:34" x14ac:dyDescent="0.25">
      <c r="A114" s="74" t="s">
        <v>48</v>
      </c>
      <c r="B114" s="74"/>
      <c r="C114" s="24">
        <v>18</v>
      </c>
      <c r="D114" s="24">
        <v>17.71</v>
      </c>
      <c r="E114" s="24">
        <v>115.71</v>
      </c>
      <c r="G114" s="74" t="s">
        <v>48</v>
      </c>
      <c r="H114" s="24">
        <v>14</v>
      </c>
      <c r="I114" s="24">
        <v>11.57</v>
      </c>
      <c r="J114" s="24">
        <v>112.57</v>
      </c>
      <c r="M114" s="74" t="s">
        <v>48</v>
      </c>
      <c r="N114" s="24">
        <v>16</v>
      </c>
      <c r="O114" s="24">
        <v>36.43</v>
      </c>
      <c r="P114" s="24">
        <v>133.43</v>
      </c>
      <c r="S114" s="74" t="s">
        <v>48</v>
      </c>
      <c r="T114" s="24">
        <v>17</v>
      </c>
      <c r="U114" s="24">
        <v>16.86</v>
      </c>
      <c r="V114" s="24">
        <v>134</v>
      </c>
      <c r="X114" s="74" t="s">
        <v>48</v>
      </c>
      <c r="Y114" s="24">
        <v>16</v>
      </c>
      <c r="Z114" s="24">
        <v>12.29</v>
      </c>
      <c r="AA114" s="24">
        <v>131</v>
      </c>
      <c r="AC114" s="74" t="s">
        <v>48</v>
      </c>
      <c r="AE114" s="24">
        <f t="shared" si="15"/>
        <v>16.2</v>
      </c>
      <c r="AF114" s="24">
        <f t="shared" si="16"/>
        <v>18.972000000000001</v>
      </c>
      <c r="AG114" s="24">
        <f t="shared" si="17"/>
        <v>125.34200000000001</v>
      </c>
    </row>
    <row r="115" spans="1:34" x14ac:dyDescent="0.25">
      <c r="A115" s="74" t="s">
        <v>35</v>
      </c>
      <c r="B115" s="74"/>
      <c r="C115" s="24">
        <v>25</v>
      </c>
      <c r="D115" s="24">
        <v>-1.43</v>
      </c>
      <c r="E115" s="24">
        <v>163.71</v>
      </c>
      <c r="G115" s="74" t="s">
        <v>35</v>
      </c>
      <c r="H115" s="24">
        <v>22</v>
      </c>
      <c r="I115" s="24">
        <v>0</v>
      </c>
      <c r="J115" s="24">
        <v>142.57</v>
      </c>
      <c r="M115" s="74" t="s">
        <v>35</v>
      </c>
      <c r="N115" s="24">
        <v>22</v>
      </c>
      <c r="O115" s="24">
        <v>13.57</v>
      </c>
      <c r="P115" s="24">
        <v>134.86000000000001</v>
      </c>
      <c r="S115" s="74" t="s">
        <v>35</v>
      </c>
      <c r="T115" s="24">
        <v>21</v>
      </c>
      <c r="U115" s="24">
        <v>40.43</v>
      </c>
      <c r="V115" s="24">
        <v>155.57</v>
      </c>
      <c r="X115" s="74" t="s">
        <v>35</v>
      </c>
      <c r="Y115" s="24">
        <v>19</v>
      </c>
      <c r="Z115" s="24">
        <v>37.29</v>
      </c>
      <c r="AA115" s="24">
        <v>215.29</v>
      </c>
      <c r="AC115" s="74" t="s">
        <v>35</v>
      </c>
      <c r="AE115" s="24">
        <f t="shared" si="15"/>
        <v>21.8</v>
      </c>
      <c r="AF115" s="24">
        <f t="shared" si="16"/>
        <v>17.971999999999998</v>
      </c>
      <c r="AG115" s="24">
        <f t="shared" si="17"/>
        <v>162.4</v>
      </c>
    </row>
    <row r="116" spans="1:34" x14ac:dyDescent="0.25">
      <c r="A116" s="27" t="s">
        <v>13</v>
      </c>
      <c r="B116" s="27"/>
      <c r="C116" s="28">
        <v>2</v>
      </c>
      <c r="D116" s="28">
        <v>0</v>
      </c>
      <c r="E116" s="28">
        <v>12.86</v>
      </c>
      <c r="G116" s="27" t="s">
        <v>13</v>
      </c>
      <c r="H116" s="28">
        <v>2</v>
      </c>
      <c r="I116" s="28">
        <v>0</v>
      </c>
      <c r="J116" s="28">
        <v>10.86</v>
      </c>
      <c r="M116" s="27" t="s">
        <v>13</v>
      </c>
      <c r="N116" s="28">
        <v>2</v>
      </c>
      <c r="O116" s="28">
        <v>0</v>
      </c>
      <c r="P116" s="28">
        <v>8.86</v>
      </c>
      <c r="S116" s="27" t="s">
        <v>13</v>
      </c>
      <c r="T116" s="28">
        <v>1</v>
      </c>
      <c r="U116" s="28">
        <v>0</v>
      </c>
      <c r="V116" s="28">
        <v>7.86</v>
      </c>
      <c r="X116" s="27" t="s">
        <v>13</v>
      </c>
      <c r="Y116" s="28">
        <v>1</v>
      </c>
      <c r="Z116" s="28">
        <v>0</v>
      </c>
      <c r="AA116" s="28">
        <v>6.86</v>
      </c>
      <c r="AC116" s="27" t="s">
        <v>13</v>
      </c>
      <c r="AE116" s="125">
        <f t="shared" si="15"/>
        <v>1.6</v>
      </c>
      <c r="AF116" s="125">
        <f t="shared" si="16"/>
        <v>0</v>
      </c>
      <c r="AG116" s="125">
        <f t="shared" si="17"/>
        <v>9.4599999999999991</v>
      </c>
    </row>
    <row r="117" spans="1:34" x14ac:dyDescent="0.25">
      <c r="A117" s="27" t="s">
        <v>36</v>
      </c>
      <c r="B117" s="27"/>
      <c r="C117" s="28">
        <v>27</v>
      </c>
      <c r="D117" s="28">
        <v>29.29</v>
      </c>
      <c r="E117" s="28">
        <v>166.14</v>
      </c>
      <c r="G117" s="27" t="s">
        <v>36</v>
      </c>
      <c r="H117" s="28">
        <v>26</v>
      </c>
      <c r="I117" s="28">
        <v>0</v>
      </c>
      <c r="J117" s="28">
        <v>140.71</v>
      </c>
      <c r="M117" s="27" t="s">
        <v>36</v>
      </c>
      <c r="N117" s="28">
        <v>24</v>
      </c>
      <c r="O117" s="28">
        <v>26.71</v>
      </c>
      <c r="P117" s="28">
        <v>143</v>
      </c>
      <c r="S117" s="27" t="s">
        <v>36</v>
      </c>
      <c r="T117" s="28">
        <v>25</v>
      </c>
      <c r="U117" s="28">
        <v>14.57</v>
      </c>
      <c r="V117" s="28">
        <v>145.71</v>
      </c>
      <c r="X117" s="27" t="s">
        <v>36</v>
      </c>
      <c r="Y117" s="28">
        <v>20</v>
      </c>
      <c r="Z117" s="28">
        <v>0.86</v>
      </c>
      <c r="AA117" s="28">
        <v>128.57</v>
      </c>
      <c r="AC117" s="27" t="s">
        <v>36</v>
      </c>
      <c r="AE117" s="125">
        <f t="shared" si="15"/>
        <v>24.4</v>
      </c>
      <c r="AF117" s="125">
        <f t="shared" si="16"/>
        <v>14.286000000000001</v>
      </c>
      <c r="AG117" s="125">
        <f t="shared" si="17"/>
        <v>144.82599999999999</v>
      </c>
    </row>
    <row r="118" spans="1:34" x14ac:dyDescent="0.25">
      <c r="A118" s="27" t="s">
        <v>37</v>
      </c>
      <c r="B118" s="27"/>
      <c r="C118" s="28">
        <v>27</v>
      </c>
      <c r="D118" s="28">
        <v>11</v>
      </c>
      <c r="E118" s="28">
        <v>192</v>
      </c>
      <c r="G118" s="27" t="s">
        <v>37</v>
      </c>
      <c r="H118" s="28">
        <v>23</v>
      </c>
      <c r="I118" s="28">
        <v>8.14</v>
      </c>
      <c r="J118" s="28">
        <v>176.71</v>
      </c>
      <c r="M118" s="27" t="s">
        <v>37</v>
      </c>
      <c r="N118" s="28">
        <v>22</v>
      </c>
      <c r="O118" s="28">
        <v>29</v>
      </c>
      <c r="P118" s="28">
        <v>183.71</v>
      </c>
      <c r="S118" s="27" t="s">
        <v>37</v>
      </c>
      <c r="T118" s="28">
        <v>20</v>
      </c>
      <c r="U118" s="28">
        <v>9.7100000000000009</v>
      </c>
      <c r="V118" s="28">
        <v>172.71</v>
      </c>
      <c r="X118" s="27" t="s">
        <v>37</v>
      </c>
      <c r="Y118" s="28">
        <v>20</v>
      </c>
      <c r="Z118" s="28">
        <v>1.29</v>
      </c>
      <c r="AA118" s="28">
        <v>150.86000000000001</v>
      </c>
      <c r="AC118" s="27" t="s">
        <v>37</v>
      </c>
      <c r="AE118" s="125">
        <f t="shared" si="15"/>
        <v>22.4</v>
      </c>
      <c r="AF118" s="125">
        <f t="shared" si="16"/>
        <v>11.827999999999999</v>
      </c>
      <c r="AG118" s="125">
        <f t="shared" si="17"/>
        <v>175.19800000000004</v>
      </c>
    </row>
    <row r="119" spans="1:34" x14ac:dyDescent="0.25">
      <c r="A119" s="27" t="s">
        <v>11</v>
      </c>
      <c r="B119" s="27"/>
      <c r="C119" s="28">
        <v>32</v>
      </c>
      <c r="D119" s="28">
        <v>59.43</v>
      </c>
      <c r="E119" s="28">
        <v>277</v>
      </c>
      <c r="G119" s="27" t="s">
        <v>11</v>
      </c>
      <c r="H119" s="28">
        <v>30</v>
      </c>
      <c r="I119" s="28">
        <v>2</v>
      </c>
      <c r="J119" s="28">
        <v>258.14</v>
      </c>
      <c r="M119" s="27" t="s">
        <v>11</v>
      </c>
      <c r="N119" s="28">
        <v>29</v>
      </c>
      <c r="O119" s="28">
        <v>39.71</v>
      </c>
      <c r="P119" s="28">
        <v>270.29000000000002</v>
      </c>
      <c r="S119" s="27" t="s">
        <v>11</v>
      </c>
      <c r="T119" s="28">
        <v>32</v>
      </c>
      <c r="U119" s="28">
        <v>45.43</v>
      </c>
      <c r="V119" s="28">
        <v>284.86</v>
      </c>
      <c r="X119" s="27" t="s">
        <v>11</v>
      </c>
      <c r="Y119" s="28">
        <v>34</v>
      </c>
      <c r="Z119" s="28">
        <v>29.71</v>
      </c>
      <c r="AA119" s="28">
        <v>281.29000000000002</v>
      </c>
      <c r="AC119" s="27" t="s">
        <v>11</v>
      </c>
      <c r="AE119" s="125">
        <f t="shared" si="15"/>
        <v>31.4</v>
      </c>
      <c r="AF119" s="125">
        <f t="shared" si="16"/>
        <v>35.256</v>
      </c>
      <c r="AG119" s="125">
        <f t="shared" si="17"/>
        <v>274.31599999999997</v>
      </c>
    </row>
    <row r="120" spans="1:34" x14ac:dyDescent="0.25">
      <c r="A120" s="27" t="s">
        <v>9</v>
      </c>
      <c r="B120" s="27"/>
      <c r="C120" s="28">
        <v>28</v>
      </c>
      <c r="D120" s="28">
        <v>59.14</v>
      </c>
      <c r="E120" s="28">
        <v>255.57</v>
      </c>
      <c r="G120" s="27" t="s">
        <v>9</v>
      </c>
      <c r="H120" s="28">
        <v>22</v>
      </c>
      <c r="I120" s="28">
        <v>6.86</v>
      </c>
      <c r="J120" s="28">
        <v>239.57</v>
      </c>
      <c r="M120" s="27" t="s">
        <v>9</v>
      </c>
      <c r="N120" s="28">
        <v>27</v>
      </c>
      <c r="O120" s="28">
        <v>5.43</v>
      </c>
      <c r="P120" s="28">
        <v>219.57</v>
      </c>
      <c r="S120" s="27" t="s">
        <v>9</v>
      </c>
      <c r="T120" s="28">
        <v>22</v>
      </c>
      <c r="U120" s="28">
        <v>14.86</v>
      </c>
      <c r="V120" s="28">
        <v>213</v>
      </c>
      <c r="X120" s="27" t="s">
        <v>9</v>
      </c>
      <c r="Y120" s="28">
        <v>21</v>
      </c>
      <c r="Z120" s="28">
        <v>21</v>
      </c>
      <c r="AA120" s="28">
        <v>212.71</v>
      </c>
      <c r="AC120" s="27" t="s">
        <v>9</v>
      </c>
      <c r="AE120" s="125">
        <f t="shared" si="15"/>
        <v>24</v>
      </c>
      <c r="AF120" s="125">
        <f t="shared" si="16"/>
        <v>21.457999999999998</v>
      </c>
      <c r="AG120" s="125">
        <f t="shared" si="17"/>
        <v>228.08399999999997</v>
      </c>
    </row>
    <row r="121" spans="1:34" x14ac:dyDescent="0.25">
      <c r="A121" s="27" t="s">
        <v>12</v>
      </c>
      <c r="B121" s="27"/>
      <c r="C121" s="28">
        <v>26</v>
      </c>
      <c r="D121" s="28">
        <v>24</v>
      </c>
      <c r="E121" s="28">
        <v>215.14</v>
      </c>
      <c r="G121" s="27" t="s">
        <v>12</v>
      </c>
      <c r="H121" s="28">
        <v>26</v>
      </c>
      <c r="I121" s="28">
        <v>11.29</v>
      </c>
      <c r="J121" s="28">
        <v>201.57</v>
      </c>
      <c r="M121" s="27" t="s">
        <v>12</v>
      </c>
      <c r="N121" s="28">
        <v>25</v>
      </c>
      <c r="O121" s="28">
        <v>22.14</v>
      </c>
      <c r="P121" s="28">
        <v>203.57</v>
      </c>
      <c r="S121" s="27" t="s">
        <v>12</v>
      </c>
      <c r="T121" s="28">
        <v>30</v>
      </c>
      <c r="U121" s="28">
        <v>9.7100000000000009</v>
      </c>
      <c r="V121" s="28">
        <v>172.71</v>
      </c>
      <c r="X121" s="27" t="s">
        <v>12</v>
      </c>
      <c r="Y121" s="28">
        <v>28</v>
      </c>
      <c r="Z121" s="28">
        <v>27</v>
      </c>
      <c r="AA121" s="28">
        <v>187.57</v>
      </c>
      <c r="AC121" s="27" t="s">
        <v>12</v>
      </c>
      <c r="AE121" s="125">
        <f t="shared" si="15"/>
        <v>27</v>
      </c>
      <c r="AF121" s="125">
        <f t="shared" si="16"/>
        <v>18.827999999999999</v>
      </c>
      <c r="AG121" s="125">
        <f t="shared" si="17"/>
        <v>196.11199999999997</v>
      </c>
    </row>
    <row r="122" spans="1:34" x14ac:dyDescent="0.25">
      <c r="A122" s="27" t="s">
        <v>10</v>
      </c>
      <c r="B122" s="27"/>
      <c r="C122" s="28">
        <v>16</v>
      </c>
      <c r="D122" s="28">
        <v>27</v>
      </c>
      <c r="E122" s="28">
        <v>199.43</v>
      </c>
      <c r="G122" s="27" t="s">
        <v>10</v>
      </c>
      <c r="H122" s="28">
        <v>11</v>
      </c>
      <c r="I122" s="28">
        <v>0</v>
      </c>
      <c r="J122" s="28">
        <v>181.43</v>
      </c>
      <c r="M122" s="27" t="s">
        <v>10</v>
      </c>
      <c r="N122" s="28">
        <v>13</v>
      </c>
      <c r="O122" s="28">
        <v>21.29</v>
      </c>
      <c r="P122" s="28">
        <v>189.43</v>
      </c>
      <c r="S122" s="27" t="s">
        <v>10</v>
      </c>
      <c r="T122" s="28">
        <v>18</v>
      </c>
      <c r="U122" s="28">
        <v>0.14000000000000001</v>
      </c>
      <c r="V122" s="28">
        <v>173</v>
      </c>
      <c r="X122" s="27" t="s">
        <v>10</v>
      </c>
      <c r="Y122" s="28">
        <v>16</v>
      </c>
      <c r="Z122" s="28">
        <v>11.86</v>
      </c>
      <c r="AA122" s="28">
        <v>169.29</v>
      </c>
      <c r="AC122" s="27" t="s">
        <v>10</v>
      </c>
      <c r="AE122" s="125">
        <f t="shared" si="15"/>
        <v>14.8</v>
      </c>
      <c r="AF122" s="125">
        <f t="shared" si="16"/>
        <v>12.058</v>
      </c>
      <c r="AG122" s="125">
        <f t="shared" si="17"/>
        <v>182.51600000000002</v>
      </c>
    </row>
    <row r="123" spans="1:34" x14ac:dyDescent="0.25">
      <c r="A123" s="27" t="s">
        <v>19</v>
      </c>
      <c r="B123" s="27"/>
      <c r="C123" s="28">
        <v>14</v>
      </c>
      <c r="D123" s="28">
        <v>-8.2899999999999991</v>
      </c>
      <c r="E123" s="28">
        <v>105</v>
      </c>
      <c r="G123" s="27" t="s">
        <v>19</v>
      </c>
      <c r="H123" s="28">
        <v>12</v>
      </c>
      <c r="I123" s="28">
        <v>22.86</v>
      </c>
      <c r="J123" s="28">
        <v>116.14</v>
      </c>
      <c r="M123" s="27" t="s">
        <v>19</v>
      </c>
      <c r="N123" s="28">
        <v>13</v>
      </c>
      <c r="O123" s="28">
        <v>25</v>
      </c>
      <c r="P123" s="28">
        <v>129</v>
      </c>
      <c r="S123" s="27" t="s">
        <v>19</v>
      </c>
      <c r="T123" s="28">
        <v>12</v>
      </c>
      <c r="U123" s="28">
        <v>10.86</v>
      </c>
      <c r="V123" s="28">
        <v>128</v>
      </c>
      <c r="X123" s="27" t="s">
        <v>19</v>
      </c>
      <c r="Y123" s="28">
        <v>11</v>
      </c>
      <c r="Z123" s="28">
        <v>9.7100000000000009</v>
      </c>
      <c r="AA123" s="28">
        <v>126.57</v>
      </c>
      <c r="AC123" s="27" t="s">
        <v>19</v>
      </c>
      <c r="AE123" s="125">
        <f>AVERAGE(Y123,T123,N123,H123,C123)</f>
        <v>12.4</v>
      </c>
      <c r="AF123" s="125">
        <f t="shared" si="16"/>
        <v>12.028000000000002</v>
      </c>
      <c r="AG123" s="125">
        <f t="shared" si="17"/>
        <v>120.94200000000001</v>
      </c>
    </row>
    <row r="124" spans="1:34" x14ac:dyDescent="0.25">
      <c r="A124" s="2" t="s">
        <v>38</v>
      </c>
      <c r="B124" s="2"/>
      <c r="C124" s="7">
        <v>8</v>
      </c>
      <c r="D124" s="7">
        <v>28.86</v>
      </c>
      <c r="E124" s="7">
        <v>78</v>
      </c>
      <c r="G124" s="2" t="s">
        <v>38</v>
      </c>
      <c r="H124" s="7">
        <v>9</v>
      </c>
      <c r="I124" s="7">
        <v>-0.14000000000000001</v>
      </c>
      <c r="J124" s="7">
        <v>69.14</v>
      </c>
      <c r="M124" s="2" t="s">
        <v>38</v>
      </c>
      <c r="N124" s="7">
        <v>9</v>
      </c>
      <c r="O124" s="7">
        <v>8.7100000000000009</v>
      </c>
      <c r="P124" s="7">
        <v>70</v>
      </c>
      <c r="S124" s="2" t="s">
        <v>38</v>
      </c>
      <c r="T124" s="7">
        <v>8</v>
      </c>
      <c r="U124" s="7">
        <v>3.86</v>
      </c>
      <c r="V124" s="7">
        <v>55.43</v>
      </c>
      <c r="X124" s="2" t="s">
        <v>38</v>
      </c>
      <c r="Y124" s="7">
        <v>9</v>
      </c>
      <c r="Z124" s="7">
        <v>3</v>
      </c>
      <c r="AA124" s="7">
        <v>65</v>
      </c>
      <c r="AC124" s="127" t="s">
        <v>695</v>
      </c>
      <c r="AE124" s="230">
        <f>AVERAGE(AE108:AE123)</f>
        <v>19.224999999999998</v>
      </c>
      <c r="AF124" s="129">
        <f>AVERAGE(AF108:AF123)</f>
        <v>14.769999999999998</v>
      </c>
      <c r="AG124" s="230">
        <f t="shared" ref="AG124" si="18">AVERAGE(AG108:AG123)</f>
        <v>150.36087500000002</v>
      </c>
      <c r="AH124">
        <v>14.77</v>
      </c>
    </row>
    <row r="125" spans="1:34" x14ac:dyDescent="0.25">
      <c r="A125" s="72" t="s">
        <v>39</v>
      </c>
      <c r="B125" s="6"/>
      <c r="C125" s="8">
        <f>SUM(C108:C124)</f>
        <v>335</v>
      </c>
      <c r="D125" s="8">
        <f>SUM(D108:D124)</f>
        <v>333.28</v>
      </c>
      <c r="E125" s="8">
        <f>SUM(E108:E124)</f>
        <v>2649.5699999999997</v>
      </c>
      <c r="G125" s="72" t="s">
        <v>39</v>
      </c>
      <c r="H125" s="8">
        <f>SUM(H108:H124)</f>
        <v>309</v>
      </c>
      <c r="I125" s="8">
        <f>SUM(I108:I124)</f>
        <v>82.73</v>
      </c>
      <c r="J125" s="8">
        <f>SUM(J108:J124)</f>
        <v>2455.1199999999994</v>
      </c>
      <c r="M125" s="72" t="s">
        <v>39</v>
      </c>
      <c r="N125" s="8">
        <f>SUM(N108:N124)</f>
        <v>319</v>
      </c>
      <c r="O125" s="8">
        <f>SUM(O108:O124)</f>
        <v>285.99999999999994</v>
      </c>
      <c r="P125" s="8">
        <f>SUM(P108:P124)</f>
        <v>2435.8799999999997</v>
      </c>
      <c r="S125" s="72" t="s">
        <v>39</v>
      </c>
      <c r="T125" s="8">
        <f>SUM(T108:T124)</f>
        <v>317</v>
      </c>
      <c r="U125" s="8">
        <f>SUM(U108:U124)</f>
        <v>246.14999999999998</v>
      </c>
      <c r="V125" s="8">
        <f>SUM(V108:V124)</f>
        <v>2367</v>
      </c>
      <c r="X125" s="72" t="s">
        <v>39</v>
      </c>
      <c r="Y125" s="8">
        <f>SUM(Y108:Y124)</f>
        <v>301</v>
      </c>
      <c r="Z125" s="8">
        <f>SUM(Z108:Z124)</f>
        <v>277.72999999999996</v>
      </c>
      <c r="AA125" s="8">
        <f>SUM(AA108:AA124)</f>
        <v>2458.87</v>
      </c>
    </row>
    <row r="126" spans="1:34" x14ac:dyDescent="0.25">
      <c r="A126" s="72">
        <v>1</v>
      </c>
      <c r="B126" s="6"/>
      <c r="C126" s="53">
        <f>SUM(C108:C115)</f>
        <v>155</v>
      </c>
      <c r="D126" s="53">
        <f>SUM(D108:D115)</f>
        <v>102.85</v>
      </c>
      <c r="E126" s="53">
        <f>SUM(E108:E115)</f>
        <v>1148.43</v>
      </c>
      <c r="G126" s="72">
        <v>1</v>
      </c>
      <c r="H126" s="53">
        <f>SUM(H108:H115)</f>
        <v>148</v>
      </c>
      <c r="I126" s="53">
        <f>SUM(I108:I115)</f>
        <v>31.72</v>
      </c>
      <c r="J126" s="53">
        <f>SUM(J108:J115)</f>
        <v>1060.8499999999999</v>
      </c>
      <c r="M126" s="72">
        <v>1</v>
      </c>
      <c r="N126" s="53">
        <f>SUM(N108:N115)</f>
        <v>155</v>
      </c>
      <c r="O126" s="53">
        <f>SUM(O108:O115)</f>
        <v>108.00999999999999</v>
      </c>
      <c r="P126" s="53">
        <f>SUM(P108:P115)</f>
        <v>1018.4499999999999</v>
      </c>
      <c r="S126" s="72">
        <v>1</v>
      </c>
      <c r="T126" s="53">
        <f>SUM(T108:T115)</f>
        <v>149</v>
      </c>
      <c r="U126" s="52">
        <f>SUM(U108:U115)</f>
        <v>137.01</v>
      </c>
      <c r="V126" s="53">
        <f>SUM(V108:V115)</f>
        <v>1013.72</v>
      </c>
      <c r="X126" s="72">
        <v>1</v>
      </c>
      <c r="Y126" s="53">
        <f>SUM(Y108:Y115)</f>
        <v>141</v>
      </c>
      <c r="Z126" s="52">
        <f>SUM(Z108:Z115)</f>
        <v>173.29999999999998</v>
      </c>
      <c r="AA126" s="53">
        <f>SUM(AA108:AA115)</f>
        <v>1130.1499999999999</v>
      </c>
    </row>
    <row r="127" spans="1:34" x14ac:dyDescent="0.25">
      <c r="A127" s="72">
        <v>2</v>
      </c>
      <c r="B127" s="6"/>
      <c r="C127" s="52">
        <f>SUM(C116:C123)</f>
        <v>172</v>
      </c>
      <c r="D127" s="52">
        <f>SUM(D116:D123)</f>
        <v>201.57000000000002</v>
      </c>
      <c r="E127" s="52">
        <f>SUM(E116:E123)</f>
        <v>1423.14</v>
      </c>
      <c r="G127" s="72">
        <v>2</v>
      </c>
      <c r="H127" s="52">
        <f>SUM(H116:H123)</f>
        <v>152</v>
      </c>
      <c r="I127" s="52">
        <f>SUM(I116:I123)</f>
        <v>51.15</v>
      </c>
      <c r="J127" s="52">
        <f>SUM(J116:J123)</f>
        <v>1325.13</v>
      </c>
      <c r="M127" s="72">
        <v>2</v>
      </c>
      <c r="N127" s="52">
        <f>SUM(N116:N123)</f>
        <v>155</v>
      </c>
      <c r="O127" s="52">
        <f>SUM(O116:O123)</f>
        <v>169.28</v>
      </c>
      <c r="P127" s="52">
        <f>SUM(P116:P123)</f>
        <v>1347.43</v>
      </c>
      <c r="S127" s="72">
        <v>2</v>
      </c>
      <c r="T127" s="52">
        <f>SUM(T116:T123)</f>
        <v>160</v>
      </c>
      <c r="U127" s="53">
        <f>SUM(U116:U123)</f>
        <v>105.28</v>
      </c>
      <c r="V127" s="52">
        <f>SUM(V116:V123)</f>
        <v>1297.8500000000001</v>
      </c>
      <c r="X127" s="72">
        <v>2</v>
      </c>
      <c r="Y127" s="52">
        <f>SUM(Y116:Y123)</f>
        <v>151</v>
      </c>
      <c r="Z127" s="53">
        <f>SUM(Z116:Z123)</f>
        <v>101.43</v>
      </c>
      <c r="AA127" s="52">
        <f>SUM(AA116:AA123)</f>
        <v>1263.72</v>
      </c>
    </row>
    <row r="128" spans="1:34" ht="30" x14ac:dyDescent="0.25">
      <c r="A128" s="68" t="s">
        <v>50</v>
      </c>
      <c r="B128" s="87"/>
      <c r="C128" s="66"/>
      <c r="D128" s="66">
        <v>51</v>
      </c>
      <c r="E128" s="66">
        <f>SUM(D125/D128)</f>
        <v>6.5349019607843131</v>
      </c>
      <c r="G128" s="68" t="s">
        <v>50</v>
      </c>
      <c r="H128" s="66"/>
      <c r="I128" s="66">
        <v>70</v>
      </c>
      <c r="J128" s="66">
        <f>SUM(I125/I128)</f>
        <v>1.1818571428571429</v>
      </c>
      <c r="M128" s="68" t="s">
        <v>50</v>
      </c>
      <c r="N128" s="66"/>
      <c r="O128" s="66">
        <v>65</v>
      </c>
      <c r="P128" s="66">
        <f>SUM(O125/O128)</f>
        <v>4.3999999999999995</v>
      </c>
      <c r="S128" s="68" t="s">
        <v>50</v>
      </c>
      <c r="T128" s="66"/>
      <c r="U128" s="66">
        <v>59</v>
      </c>
      <c r="V128" s="66">
        <f>SUM(U125/U128)</f>
        <v>4.1720338983050844</v>
      </c>
      <c r="X128" s="68" t="s">
        <v>50</v>
      </c>
      <c r="Y128" s="66"/>
      <c r="Z128" s="66">
        <v>64</v>
      </c>
      <c r="AA128" s="66">
        <f>SUM(Z125/Z128)</f>
        <v>4.3395312499999994</v>
      </c>
    </row>
    <row r="129" spans="1:29" x14ac:dyDescent="0.25">
      <c r="A129" s="72" t="s">
        <v>49</v>
      </c>
      <c r="B129" s="6"/>
      <c r="C129" s="8"/>
      <c r="D129" s="8"/>
      <c r="E129" s="8"/>
      <c r="G129" s="72" t="s">
        <v>49</v>
      </c>
      <c r="H129" s="8"/>
      <c r="I129" s="8"/>
      <c r="J129" s="8"/>
      <c r="M129" s="72" t="s">
        <v>49</v>
      </c>
      <c r="N129" s="8"/>
      <c r="O129" s="8"/>
      <c r="P129" s="8"/>
      <c r="S129" s="72" t="s">
        <v>49</v>
      </c>
      <c r="T129" s="8"/>
      <c r="U129" s="8"/>
      <c r="V129" s="8"/>
      <c r="X129" s="72" t="s">
        <v>49</v>
      </c>
      <c r="Y129" s="8"/>
      <c r="Z129" s="8"/>
      <c r="AA129" s="8"/>
    </row>
    <row r="130" spans="1:29" x14ac:dyDescent="0.25">
      <c r="A130" s="72" t="s">
        <v>40</v>
      </c>
      <c r="B130" s="6"/>
      <c r="C130" s="8"/>
      <c r="D130" s="8"/>
      <c r="E130" s="8"/>
      <c r="G130" s="72" t="s">
        <v>40</v>
      </c>
      <c r="H130" s="8"/>
      <c r="I130" s="8"/>
      <c r="J130" s="8"/>
      <c r="M130" s="72" t="s">
        <v>40</v>
      </c>
      <c r="N130" s="8"/>
      <c r="O130" s="8"/>
      <c r="P130" s="8"/>
      <c r="S130" s="72" t="s">
        <v>40</v>
      </c>
      <c r="T130" s="8"/>
      <c r="U130" s="8"/>
      <c r="V130" s="8"/>
      <c r="X130" s="72" t="s">
        <v>40</v>
      </c>
      <c r="Y130" s="8"/>
      <c r="Z130" s="8"/>
      <c r="AA130" s="8"/>
    </row>
    <row r="131" spans="1:29" x14ac:dyDescent="0.25">
      <c r="A131" s="72" t="s">
        <v>41</v>
      </c>
      <c r="B131" s="6"/>
      <c r="C131" s="12">
        <f>C130-C125</f>
        <v>-335</v>
      </c>
      <c r="D131" s="12">
        <f>D130-D125</f>
        <v>-333.28</v>
      </c>
      <c r="E131" s="12">
        <f>E130-E125</f>
        <v>-2649.5699999999997</v>
      </c>
      <c r="G131" s="72" t="s">
        <v>41</v>
      </c>
      <c r="H131" s="12">
        <f>H130-H125</f>
        <v>-309</v>
      </c>
      <c r="I131" s="12">
        <f>I130-I125</f>
        <v>-82.73</v>
      </c>
      <c r="J131" s="12">
        <f>J130-J125</f>
        <v>-2455.1199999999994</v>
      </c>
      <c r="M131" s="72" t="s">
        <v>41</v>
      </c>
      <c r="N131" s="12">
        <f>N130-N125</f>
        <v>-319</v>
      </c>
      <c r="O131" s="12">
        <f>O130-O125</f>
        <v>-285.99999999999994</v>
      </c>
      <c r="P131" s="12">
        <f>P130-P125</f>
        <v>-2435.8799999999997</v>
      </c>
      <c r="S131" s="72" t="s">
        <v>41</v>
      </c>
      <c r="T131" s="12">
        <f>T130-T125</f>
        <v>-317</v>
      </c>
      <c r="U131" s="12">
        <f>U130-U125</f>
        <v>-246.14999999999998</v>
      </c>
      <c r="V131" s="12">
        <f>V130-V125</f>
        <v>-2367</v>
      </c>
      <c r="X131" s="72" t="s">
        <v>41</v>
      </c>
      <c r="Y131" s="12">
        <f>Y130-Y125</f>
        <v>-301</v>
      </c>
      <c r="Z131" s="12">
        <f>Z130-Z125</f>
        <v>-277.72999999999996</v>
      </c>
      <c r="AA131" s="12">
        <f>AA130-AA125</f>
        <v>-2458.87</v>
      </c>
    </row>
    <row r="133" spans="1:29" ht="18.75" x14ac:dyDescent="0.3">
      <c r="A133" s="69" t="s">
        <v>448</v>
      </c>
      <c r="B133" s="4"/>
      <c r="C133" s="10"/>
      <c r="D133" s="10"/>
      <c r="E133" s="10"/>
      <c r="G133" s="69" t="s">
        <v>449</v>
      </c>
      <c r="H133" s="10"/>
      <c r="I133" s="10"/>
      <c r="J133" s="10"/>
      <c r="M133" s="69" t="s">
        <v>475</v>
      </c>
      <c r="S133" s="69" t="s">
        <v>476</v>
      </c>
    </row>
    <row r="134" spans="1:29" ht="45" x14ac:dyDescent="0.25">
      <c r="A134" s="70"/>
      <c r="B134" s="70"/>
      <c r="C134" s="71" t="s">
        <v>26</v>
      </c>
      <c r="D134" s="71" t="s">
        <v>27</v>
      </c>
      <c r="E134" s="71" t="s">
        <v>28</v>
      </c>
      <c r="G134" s="70"/>
      <c r="H134" s="70"/>
      <c r="I134" s="71" t="s">
        <v>26</v>
      </c>
      <c r="J134" s="71" t="s">
        <v>27</v>
      </c>
      <c r="K134" s="71" t="s">
        <v>28</v>
      </c>
      <c r="M134" s="70"/>
      <c r="N134" s="70"/>
      <c r="O134" s="71" t="s">
        <v>26</v>
      </c>
      <c r="P134" s="71" t="s">
        <v>27</v>
      </c>
      <c r="Q134" s="71" t="s">
        <v>28</v>
      </c>
      <c r="S134" s="70"/>
      <c r="T134" s="70"/>
      <c r="U134" s="71" t="s">
        <v>26</v>
      </c>
      <c r="V134" s="71" t="s">
        <v>27</v>
      </c>
      <c r="W134" s="71" t="s">
        <v>28</v>
      </c>
      <c r="Y134" s="124" t="s">
        <v>685</v>
      </c>
      <c r="AA134" s="71" t="s">
        <v>26</v>
      </c>
      <c r="AB134" s="71" t="s">
        <v>27</v>
      </c>
      <c r="AC134" s="71" t="s">
        <v>28</v>
      </c>
    </row>
    <row r="135" spans="1:29" x14ac:dyDescent="0.25">
      <c r="A135" s="90" t="s">
        <v>29</v>
      </c>
      <c r="B135" s="90"/>
      <c r="C135" s="91">
        <v>36</v>
      </c>
      <c r="D135" s="91">
        <v>48.43</v>
      </c>
      <c r="E135" s="91">
        <v>243</v>
      </c>
      <c r="G135" s="90" t="s">
        <v>29</v>
      </c>
      <c r="H135" s="90"/>
      <c r="I135" s="91">
        <v>35</v>
      </c>
      <c r="J135" s="91">
        <v>71.430000000000007</v>
      </c>
      <c r="K135" s="91">
        <v>274.14</v>
      </c>
      <c r="M135" s="90" t="s">
        <v>29</v>
      </c>
      <c r="N135" s="90"/>
      <c r="O135" s="91">
        <v>33</v>
      </c>
      <c r="P135" s="91">
        <v>17.57</v>
      </c>
      <c r="Q135" s="91">
        <v>259</v>
      </c>
      <c r="S135" s="90" t="s">
        <v>29</v>
      </c>
      <c r="T135" s="90"/>
      <c r="U135" s="91">
        <v>31</v>
      </c>
      <c r="V135" s="91">
        <v>28</v>
      </c>
      <c r="W135" s="91">
        <v>255.71</v>
      </c>
      <c r="Y135" s="90" t="s">
        <v>29</v>
      </c>
      <c r="AA135" s="91">
        <f>AVERAGE(U135,O135,I135,C135)</f>
        <v>33.75</v>
      </c>
      <c r="AB135" s="91">
        <f>AVERAGE(V135,P135,J135,D135)</f>
        <v>41.357500000000002</v>
      </c>
      <c r="AC135" s="91">
        <f t="shared" ref="AC135:AC148" si="19">AVERAGE(W135,Q135,K135,E135)</f>
        <v>257.96249999999998</v>
      </c>
    </row>
    <row r="136" spans="1:29" x14ac:dyDescent="0.25">
      <c r="A136" s="90" t="s">
        <v>35</v>
      </c>
      <c r="B136" s="90"/>
      <c r="C136" s="91">
        <v>16</v>
      </c>
      <c r="D136" s="91">
        <v>2</v>
      </c>
      <c r="E136" s="91">
        <v>163.29</v>
      </c>
      <c r="G136" s="90" t="s">
        <v>35</v>
      </c>
      <c r="H136" s="90"/>
      <c r="I136" s="91">
        <v>17</v>
      </c>
      <c r="J136" s="91">
        <v>20.14</v>
      </c>
      <c r="K136" s="91">
        <v>166.57</v>
      </c>
      <c r="M136" s="90" t="s">
        <v>35</v>
      </c>
      <c r="N136" s="90"/>
      <c r="O136" s="91">
        <v>18</v>
      </c>
      <c r="P136" s="91">
        <v>6</v>
      </c>
      <c r="Q136" s="91">
        <v>155.29</v>
      </c>
      <c r="S136" s="90" t="s">
        <v>35</v>
      </c>
      <c r="T136" s="90"/>
      <c r="U136" s="91">
        <v>18</v>
      </c>
      <c r="V136" s="91">
        <v>58</v>
      </c>
      <c r="W136" s="91">
        <v>196.14</v>
      </c>
      <c r="Y136" s="90" t="s">
        <v>35</v>
      </c>
      <c r="AA136" s="91">
        <f t="shared" ref="AA136:AA147" si="20">AVERAGE(U136,O136,I136,C136)</f>
        <v>17.25</v>
      </c>
      <c r="AB136" s="91">
        <f t="shared" ref="AB136:AB148" si="21">AVERAGE(V136,P136,J136,D136)</f>
        <v>21.535</v>
      </c>
      <c r="AC136" s="91">
        <f t="shared" si="19"/>
        <v>170.32249999999999</v>
      </c>
    </row>
    <row r="137" spans="1:29" x14ac:dyDescent="0.25">
      <c r="A137" s="90" t="s">
        <v>30</v>
      </c>
      <c r="B137" s="90"/>
      <c r="C137" s="91">
        <v>15</v>
      </c>
      <c r="D137" s="91">
        <v>21.71</v>
      </c>
      <c r="E137" s="91">
        <v>108.43</v>
      </c>
      <c r="G137" s="90" t="s">
        <v>30</v>
      </c>
      <c r="H137" s="90"/>
      <c r="I137" s="91">
        <v>17</v>
      </c>
      <c r="J137" s="91">
        <v>25.43</v>
      </c>
      <c r="K137" s="91">
        <v>118.14</v>
      </c>
      <c r="M137" s="90" t="s">
        <v>30</v>
      </c>
      <c r="N137" s="90"/>
      <c r="O137" s="91">
        <v>13</v>
      </c>
      <c r="P137" s="91">
        <v>0</v>
      </c>
      <c r="Q137" s="91">
        <v>105</v>
      </c>
      <c r="S137" s="90" t="s">
        <v>30</v>
      </c>
      <c r="T137" s="90"/>
      <c r="U137" s="91">
        <v>11</v>
      </c>
      <c r="V137" s="91">
        <v>19.86</v>
      </c>
      <c r="W137" s="91">
        <v>114.71</v>
      </c>
      <c r="Y137" s="90" t="s">
        <v>30</v>
      </c>
      <c r="AA137" s="91">
        <f t="shared" si="20"/>
        <v>14</v>
      </c>
      <c r="AB137" s="91">
        <f t="shared" si="21"/>
        <v>16.75</v>
      </c>
      <c r="AC137" s="91">
        <f t="shared" si="19"/>
        <v>111.57</v>
      </c>
    </row>
    <row r="138" spans="1:29" x14ac:dyDescent="0.25">
      <c r="A138" s="90" t="s">
        <v>32</v>
      </c>
      <c r="B138" s="90"/>
      <c r="C138" s="91">
        <v>19</v>
      </c>
      <c r="D138" s="91">
        <v>9.7100000000000009</v>
      </c>
      <c r="E138" s="91">
        <v>154.43</v>
      </c>
      <c r="G138" s="90" t="s">
        <v>32</v>
      </c>
      <c r="H138" s="90"/>
      <c r="I138" s="91">
        <v>18</v>
      </c>
      <c r="J138" s="91">
        <v>11.43</v>
      </c>
      <c r="K138" s="91">
        <v>147.86000000000001</v>
      </c>
      <c r="M138" s="90" t="s">
        <v>32</v>
      </c>
      <c r="N138" s="90"/>
      <c r="O138" s="91">
        <v>17</v>
      </c>
      <c r="P138" s="91">
        <v>4</v>
      </c>
      <c r="Q138" s="91">
        <v>135.13999999999999</v>
      </c>
      <c r="S138" s="90" t="s">
        <v>32</v>
      </c>
      <c r="T138" s="90"/>
      <c r="U138" s="91">
        <v>14</v>
      </c>
      <c r="V138" s="91">
        <v>21.14</v>
      </c>
      <c r="W138" s="91">
        <v>142.29</v>
      </c>
      <c r="Y138" s="90" t="s">
        <v>32</v>
      </c>
      <c r="AA138" s="91">
        <f t="shared" si="20"/>
        <v>17</v>
      </c>
      <c r="AB138" s="91">
        <f t="shared" si="21"/>
        <v>11.57</v>
      </c>
      <c r="AC138" s="91">
        <f t="shared" si="19"/>
        <v>144.93</v>
      </c>
    </row>
    <row r="139" spans="1:29" x14ac:dyDescent="0.25">
      <c r="A139" s="90" t="s">
        <v>31</v>
      </c>
      <c r="B139" s="90"/>
      <c r="C139" s="91">
        <v>25</v>
      </c>
      <c r="D139" s="91">
        <v>8</v>
      </c>
      <c r="E139" s="91">
        <v>199</v>
      </c>
      <c r="G139" s="90" t="s">
        <v>31</v>
      </c>
      <c r="H139" s="90"/>
      <c r="I139" s="91">
        <v>27</v>
      </c>
      <c r="J139" s="91">
        <v>6</v>
      </c>
      <c r="K139" s="91">
        <v>180</v>
      </c>
      <c r="M139" s="90" t="s">
        <v>31</v>
      </c>
      <c r="N139" s="90"/>
      <c r="O139" s="91">
        <v>22</v>
      </c>
      <c r="P139" s="91">
        <v>0</v>
      </c>
      <c r="Q139" s="91">
        <v>155</v>
      </c>
      <c r="S139" s="90" t="s">
        <v>31</v>
      </c>
      <c r="T139" s="90"/>
      <c r="U139" s="91">
        <v>21</v>
      </c>
      <c r="V139" s="91">
        <v>0</v>
      </c>
      <c r="W139" s="91">
        <v>134.29</v>
      </c>
      <c r="Y139" s="90" t="s">
        <v>31</v>
      </c>
      <c r="AA139" s="91">
        <f t="shared" si="20"/>
        <v>23.75</v>
      </c>
      <c r="AB139" s="91">
        <f t="shared" si="21"/>
        <v>3.5</v>
      </c>
      <c r="AC139" s="91">
        <f t="shared" si="19"/>
        <v>167.07249999999999</v>
      </c>
    </row>
    <row r="140" spans="1:29" x14ac:dyDescent="0.25">
      <c r="A140" s="92" t="s">
        <v>472</v>
      </c>
      <c r="B140" s="92"/>
      <c r="C140" s="94">
        <v>2</v>
      </c>
      <c r="D140" s="94">
        <v>14.43</v>
      </c>
      <c r="E140" s="94">
        <v>31.57</v>
      </c>
      <c r="G140" s="92" t="s">
        <v>472</v>
      </c>
      <c r="H140" s="92"/>
      <c r="I140" s="94">
        <v>3</v>
      </c>
      <c r="J140" s="94">
        <v>50</v>
      </c>
      <c r="K140" s="94">
        <v>78.86</v>
      </c>
      <c r="M140" s="92" t="s">
        <v>472</v>
      </c>
      <c r="N140" s="92"/>
      <c r="O140" s="94">
        <v>1</v>
      </c>
      <c r="P140" s="94">
        <v>18.57</v>
      </c>
      <c r="Q140" s="94">
        <v>102</v>
      </c>
      <c r="S140" s="92" t="s">
        <v>472</v>
      </c>
      <c r="T140" s="92"/>
      <c r="U140" s="94">
        <v>0</v>
      </c>
      <c r="V140" s="94">
        <v>-5.86</v>
      </c>
      <c r="W140" s="94">
        <v>95.14</v>
      </c>
      <c r="Y140" s="92" t="s">
        <v>472</v>
      </c>
      <c r="AA140" s="92">
        <f t="shared" si="20"/>
        <v>1.5</v>
      </c>
      <c r="AB140" s="92">
        <f t="shared" si="21"/>
        <v>19.285</v>
      </c>
      <c r="AC140" s="92">
        <f t="shared" si="19"/>
        <v>76.892499999999998</v>
      </c>
    </row>
    <row r="141" spans="1:29" x14ac:dyDescent="0.25">
      <c r="A141" s="92" t="s">
        <v>11</v>
      </c>
      <c r="B141" s="92"/>
      <c r="C141" s="94">
        <v>31</v>
      </c>
      <c r="D141" s="94">
        <v>14.43</v>
      </c>
      <c r="E141" s="94">
        <v>265.29000000000002</v>
      </c>
      <c r="G141" s="92" t="s">
        <v>11</v>
      </c>
      <c r="H141" s="92"/>
      <c r="I141" s="94">
        <v>33</v>
      </c>
      <c r="J141" s="94">
        <v>45.29</v>
      </c>
      <c r="K141" s="94">
        <v>277.86</v>
      </c>
      <c r="M141" s="92" t="s">
        <v>11</v>
      </c>
      <c r="N141" s="92"/>
      <c r="O141" s="94">
        <v>36</v>
      </c>
      <c r="P141" s="94">
        <v>10.29</v>
      </c>
      <c r="Q141" s="94">
        <v>253.14</v>
      </c>
      <c r="S141" s="92" t="s">
        <v>11</v>
      </c>
      <c r="T141" s="92"/>
      <c r="U141" s="94">
        <v>35</v>
      </c>
      <c r="V141" s="94">
        <v>11.14</v>
      </c>
      <c r="W141" s="94">
        <v>230.86</v>
      </c>
      <c r="Y141" s="92" t="s">
        <v>11</v>
      </c>
      <c r="AA141" s="92">
        <f t="shared" si="20"/>
        <v>33.75</v>
      </c>
      <c r="AB141" s="92">
        <f t="shared" si="21"/>
        <v>20.287500000000001</v>
      </c>
      <c r="AC141" s="92">
        <f t="shared" si="19"/>
        <v>256.78750000000002</v>
      </c>
    </row>
    <row r="142" spans="1:29" x14ac:dyDescent="0.25">
      <c r="A142" s="92" t="s">
        <v>36</v>
      </c>
      <c r="B142" s="92"/>
      <c r="C142" s="94">
        <v>18</v>
      </c>
      <c r="D142" s="94">
        <v>0.14000000000000001</v>
      </c>
      <c r="E142" s="94">
        <v>109.86</v>
      </c>
      <c r="G142" s="92" t="s">
        <v>36</v>
      </c>
      <c r="H142" s="92"/>
      <c r="I142" s="94">
        <v>20</v>
      </c>
      <c r="J142" s="94">
        <v>11.14</v>
      </c>
      <c r="K142" s="94">
        <v>105.29</v>
      </c>
      <c r="M142" s="92" t="s">
        <v>36</v>
      </c>
      <c r="N142" s="92"/>
      <c r="O142" s="94">
        <v>16</v>
      </c>
      <c r="P142" s="94">
        <v>8.7100000000000009</v>
      </c>
      <c r="Q142" s="94">
        <v>98.29</v>
      </c>
      <c r="S142" s="92" t="s">
        <v>36</v>
      </c>
      <c r="T142" s="92"/>
      <c r="U142" s="94">
        <v>15</v>
      </c>
      <c r="V142" s="94">
        <v>15.86</v>
      </c>
      <c r="W142" s="94">
        <v>98.29</v>
      </c>
      <c r="Y142" s="92" t="s">
        <v>36</v>
      </c>
      <c r="AA142" s="92">
        <f t="shared" si="20"/>
        <v>17.25</v>
      </c>
      <c r="AB142" s="92">
        <f t="shared" si="21"/>
        <v>8.9625000000000004</v>
      </c>
      <c r="AC142" s="92">
        <f t="shared" si="19"/>
        <v>102.9325</v>
      </c>
    </row>
    <row r="143" spans="1:29" x14ac:dyDescent="0.25">
      <c r="A143" s="92" t="s">
        <v>48</v>
      </c>
      <c r="B143" s="92"/>
      <c r="C143" s="94">
        <v>16</v>
      </c>
      <c r="D143" s="94">
        <v>2.29</v>
      </c>
      <c r="E143" s="94">
        <v>118.29</v>
      </c>
      <c r="G143" s="92" t="s">
        <v>48</v>
      </c>
      <c r="H143" s="92"/>
      <c r="I143" s="94">
        <v>18</v>
      </c>
      <c r="J143" s="94">
        <v>28.43</v>
      </c>
      <c r="K143" s="94">
        <v>129.13999999999999</v>
      </c>
      <c r="M143" s="92" t="s">
        <v>48</v>
      </c>
      <c r="N143" s="92"/>
      <c r="O143" s="94">
        <v>18</v>
      </c>
      <c r="P143" s="94">
        <v>12.86</v>
      </c>
      <c r="Q143" s="94">
        <v>125.43</v>
      </c>
      <c r="S143" s="92" t="s">
        <v>48</v>
      </c>
      <c r="T143" s="92"/>
      <c r="U143" s="94">
        <v>15</v>
      </c>
      <c r="V143" s="94">
        <v>6.86</v>
      </c>
      <c r="W143" s="94">
        <v>117.71</v>
      </c>
      <c r="Y143" s="92" t="s">
        <v>48</v>
      </c>
      <c r="AA143" s="92">
        <f t="shared" si="20"/>
        <v>16.75</v>
      </c>
      <c r="AB143" s="92">
        <f t="shared" si="21"/>
        <v>12.61</v>
      </c>
      <c r="AC143" s="92">
        <f t="shared" si="19"/>
        <v>122.6425</v>
      </c>
    </row>
    <row r="144" spans="1:29" x14ac:dyDescent="0.25">
      <c r="A144" s="27" t="s">
        <v>37</v>
      </c>
      <c r="B144" s="27"/>
      <c r="C144" s="28">
        <v>18</v>
      </c>
      <c r="D144" s="28">
        <v>15.86</v>
      </c>
      <c r="E144" s="28">
        <v>148.13999999999999</v>
      </c>
      <c r="G144" s="27" t="s">
        <v>37</v>
      </c>
      <c r="H144" s="27"/>
      <c r="I144" s="28">
        <v>19</v>
      </c>
      <c r="J144" s="28">
        <v>14.43</v>
      </c>
      <c r="K144" s="28">
        <v>142.57</v>
      </c>
      <c r="M144" s="27" t="s">
        <v>37</v>
      </c>
      <c r="N144" s="27"/>
      <c r="O144" s="28">
        <v>22</v>
      </c>
      <c r="P144" s="28">
        <v>-1.86</v>
      </c>
      <c r="Q144" s="28">
        <v>119.43</v>
      </c>
      <c r="S144" s="27" t="s">
        <v>37</v>
      </c>
      <c r="T144" s="27"/>
      <c r="U144" s="28">
        <v>17</v>
      </c>
      <c r="V144" s="28">
        <v>2.57</v>
      </c>
      <c r="W144" s="28">
        <v>103.86</v>
      </c>
      <c r="Y144" s="27" t="s">
        <v>37</v>
      </c>
      <c r="AA144" s="27">
        <f t="shared" si="20"/>
        <v>19</v>
      </c>
      <c r="AB144" s="27">
        <f t="shared" si="21"/>
        <v>7.75</v>
      </c>
      <c r="AC144" s="27">
        <f t="shared" si="19"/>
        <v>128.5</v>
      </c>
    </row>
    <row r="145" spans="1:29" x14ac:dyDescent="0.25">
      <c r="A145" s="27" t="s">
        <v>9</v>
      </c>
      <c r="B145" s="27"/>
      <c r="C145" s="28">
        <v>19</v>
      </c>
      <c r="D145" s="28">
        <v>7.86</v>
      </c>
      <c r="E145" s="28">
        <v>201.71</v>
      </c>
      <c r="G145" s="27" t="s">
        <v>9</v>
      </c>
      <c r="H145" s="27"/>
      <c r="I145" s="28">
        <v>23</v>
      </c>
      <c r="J145" s="28">
        <v>4</v>
      </c>
      <c r="K145" s="28">
        <v>184</v>
      </c>
      <c r="M145" s="27" t="s">
        <v>9</v>
      </c>
      <c r="N145" s="27"/>
      <c r="O145" s="28">
        <v>24</v>
      </c>
      <c r="P145" s="28">
        <v>4</v>
      </c>
      <c r="Q145" s="28">
        <v>164.71</v>
      </c>
      <c r="S145" s="27" t="s">
        <v>9</v>
      </c>
      <c r="T145" s="27"/>
      <c r="U145" s="28">
        <v>22</v>
      </c>
      <c r="V145" s="28">
        <v>12.14</v>
      </c>
      <c r="W145" s="28">
        <v>156.29</v>
      </c>
      <c r="Y145" s="27" t="s">
        <v>9</v>
      </c>
      <c r="AA145" s="27">
        <f t="shared" si="20"/>
        <v>22</v>
      </c>
      <c r="AB145" s="27">
        <f t="shared" si="21"/>
        <v>7</v>
      </c>
      <c r="AC145" s="27">
        <f t="shared" si="19"/>
        <v>176.67750000000001</v>
      </c>
    </row>
    <row r="146" spans="1:29" x14ac:dyDescent="0.25">
      <c r="A146" s="27" t="s">
        <v>12</v>
      </c>
      <c r="B146" s="27"/>
      <c r="C146" s="28">
        <v>26</v>
      </c>
      <c r="D146" s="28">
        <v>25</v>
      </c>
      <c r="E146" s="28">
        <v>188.29</v>
      </c>
      <c r="G146" s="27" t="s">
        <v>12</v>
      </c>
      <c r="H146" s="27"/>
      <c r="I146" s="28">
        <v>20</v>
      </c>
      <c r="J146" s="28">
        <v>4.57</v>
      </c>
      <c r="K146" s="28">
        <v>173</v>
      </c>
      <c r="M146" s="27" t="s">
        <v>12</v>
      </c>
      <c r="N146" s="27"/>
      <c r="O146" s="28">
        <v>21</v>
      </c>
      <c r="P146" s="28">
        <v>8.14</v>
      </c>
      <c r="Q146" s="28">
        <v>160.29</v>
      </c>
      <c r="S146" s="27" t="s">
        <v>12</v>
      </c>
      <c r="T146" s="27"/>
      <c r="U146" s="28">
        <v>20</v>
      </c>
      <c r="V146" s="28">
        <v>34.57</v>
      </c>
      <c r="W146" s="28">
        <v>174.86</v>
      </c>
      <c r="Y146" s="27" t="s">
        <v>12</v>
      </c>
      <c r="AA146" s="27">
        <f t="shared" si="20"/>
        <v>21.75</v>
      </c>
      <c r="AB146" s="27">
        <f t="shared" si="21"/>
        <v>18.07</v>
      </c>
      <c r="AC146" s="27">
        <f t="shared" si="19"/>
        <v>174.10999999999999</v>
      </c>
    </row>
    <row r="147" spans="1:29" x14ac:dyDescent="0.25">
      <c r="A147" s="27" t="s">
        <v>10</v>
      </c>
      <c r="B147" s="27"/>
      <c r="C147" s="28">
        <v>15</v>
      </c>
      <c r="D147" s="28">
        <v>11.71</v>
      </c>
      <c r="E147" s="28">
        <v>166.14</v>
      </c>
      <c r="G147" s="27" t="s">
        <v>10</v>
      </c>
      <c r="H147" s="27"/>
      <c r="I147" s="28">
        <v>15</v>
      </c>
      <c r="J147" s="28">
        <v>20.86</v>
      </c>
      <c r="K147" s="28">
        <v>172.29</v>
      </c>
      <c r="M147" s="27" t="s">
        <v>10</v>
      </c>
      <c r="N147" s="27"/>
      <c r="O147" s="28">
        <v>14</v>
      </c>
      <c r="P147" s="28">
        <v>14</v>
      </c>
      <c r="Q147" s="28">
        <v>173.14</v>
      </c>
      <c r="S147" s="27" t="s">
        <v>10</v>
      </c>
      <c r="T147" s="27"/>
      <c r="U147" s="28">
        <v>14</v>
      </c>
      <c r="V147" s="28">
        <v>4</v>
      </c>
      <c r="W147" s="28">
        <v>163.57</v>
      </c>
      <c r="Y147" s="27" t="s">
        <v>10</v>
      </c>
      <c r="AA147" s="27">
        <f t="shared" si="20"/>
        <v>14.5</v>
      </c>
      <c r="AB147" s="27">
        <f t="shared" si="21"/>
        <v>12.6425</v>
      </c>
      <c r="AC147" s="27">
        <f t="shared" si="19"/>
        <v>168.785</v>
      </c>
    </row>
    <row r="148" spans="1:29" x14ac:dyDescent="0.25">
      <c r="A148" s="27" t="s">
        <v>473</v>
      </c>
      <c r="B148" s="27"/>
      <c r="C148" s="28">
        <v>10</v>
      </c>
      <c r="D148" s="28">
        <v>6.43</v>
      </c>
      <c r="E148" s="28">
        <v>129.86000000000001</v>
      </c>
      <c r="G148" s="27" t="s">
        <v>473</v>
      </c>
      <c r="H148" s="27"/>
      <c r="I148" s="28">
        <v>12</v>
      </c>
      <c r="J148" s="28">
        <v>8.86</v>
      </c>
      <c r="K148" s="28">
        <v>127.57</v>
      </c>
      <c r="M148" s="27" t="s">
        <v>473</v>
      </c>
      <c r="N148" s="27"/>
      <c r="O148" s="28">
        <v>12</v>
      </c>
      <c r="P148" s="28">
        <v>6</v>
      </c>
      <c r="Q148" s="28">
        <v>121.57</v>
      </c>
      <c r="S148" s="27" t="s">
        <v>473</v>
      </c>
      <c r="T148" s="27"/>
      <c r="U148" s="28">
        <v>15</v>
      </c>
      <c r="V148" s="28">
        <v>9.14</v>
      </c>
      <c r="W148" s="28">
        <v>116.29</v>
      </c>
      <c r="Y148" s="27" t="s">
        <v>473</v>
      </c>
      <c r="AA148" s="27">
        <f>AVERAGE(U148,O148,I148,C148)</f>
        <v>12.25</v>
      </c>
      <c r="AB148" s="27">
        <f t="shared" si="21"/>
        <v>7.6074999999999999</v>
      </c>
      <c r="AC148" s="27">
        <f t="shared" si="19"/>
        <v>123.82250000000001</v>
      </c>
    </row>
    <row r="149" spans="1:29" x14ac:dyDescent="0.25">
      <c r="A149" s="2" t="s">
        <v>474</v>
      </c>
      <c r="B149" s="2"/>
      <c r="C149" s="28">
        <v>8</v>
      </c>
      <c r="D149" s="28">
        <v>5</v>
      </c>
      <c r="E149" s="28">
        <v>63</v>
      </c>
      <c r="G149" s="2" t="s">
        <v>474</v>
      </c>
      <c r="H149" s="2"/>
      <c r="I149" s="28">
        <v>8</v>
      </c>
      <c r="J149" s="28"/>
      <c r="K149" s="28"/>
      <c r="M149" s="2" t="s">
        <v>474</v>
      </c>
      <c r="N149" s="2"/>
      <c r="O149" s="28">
        <v>5</v>
      </c>
      <c r="P149" s="28"/>
      <c r="Q149" s="28"/>
      <c r="S149" s="2" t="s">
        <v>474</v>
      </c>
      <c r="T149" s="2"/>
      <c r="U149" s="28">
        <v>4</v>
      </c>
      <c r="V149" s="28"/>
      <c r="W149" s="28"/>
      <c r="Y149" s="2" t="s">
        <v>649</v>
      </c>
      <c r="AA149" s="28">
        <v>6</v>
      </c>
      <c r="AB149" s="28"/>
      <c r="AC149" s="28"/>
    </row>
    <row r="150" spans="1:29" x14ac:dyDescent="0.25">
      <c r="A150" s="72" t="s">
        <v>39</v>
      </c>
      <c r="B150" s="72"/>
      <c r="C150" s="8">
        <f>SUM(C133:C149)</f>
        <v>274</v>
      </c>
      <c r="D150" s="8">
        <f>SUM(D133:D149)</f>
        <v>193.00000000000003</v>
      </c>
      <c r="E150" s="8">
        <f>SUM(E133:E149)</f>
        <v>2290.3000000000002</v>
      </c>
      <c r="G150" s="72" t="s">
        <v>39</v>
      </c>
      <c r="H150" s="72"/>
      <c r="I150" s="8">
        <f>SUM(I133:I149)</f>
        <v>285</v>
      </c>
      <c r="J150" s="8">
        <f>SUM(J133:J149)</f>
        <v>322.01000000000005</v>
      </c>
      <c r="K150" s="8">
        <f>SUM(K133:K149)</f>
        <v>2277.2900000000004</v>
      </c>
      <c r="M150" s="72" t="s">
        <v>39</v>
      </c>
      <c r="N150" s="72"/>
      <c r="O150" s="8">
        <f>SUM(O133:O149)</f>
        <v>272</v>
      </c>
      <c r="P150" s="8">
        <f>SUM(P133:P149)</f>
        <v>108.28</v>
      </c>
      <c r="Q150" s="8">
        <f>SUM(Q133:Q149)</f>
        <v>2127.4300000000003</v>
      </c>
      <c r="S150" s="72" t="s">
        <v>39</v>
      </c>
      <c r="T150" s="72"/>
      <c r="U150" s="8">
        <f>SUM(U133:U149)</f>
        <v>252</v>
      </c>
      <c r="V150" s="8">
        <f>SUM(V133:V149)</f>
        <v>217.41999999999996</v>
      </c>
      <c r="W150" s="8">
        <f>SUM(W133:W149)</f>
        <v>2100.0099999999998</v>
      </c>
      <c r="Y150" s="127" t="s">
        <v>694</v>
      </c>
      <c r="AA150" s="229">
        <f>AVERAGE(AA135:AA149)</f>
        <v>18.033333333333335</v>
      </c>
      <c r="AB150" s="229">
        <f t="shared" ref="AB150:AC150" si="22">AVERAGE(AB135:AB149)</f>
        <v>14.923392857142858</v>
      </c>
      <c r="AC150" s="229">
        <f t="shared" si="22"/>
        <v>155.92910714285716</v>
      </c>
    </row>
    <row r="151" spans="1:29" x14ac:dyDescent="0.25">
      <c r="A151" s="72"/>
      <c r="B151" s="72"/>
      <c r="C151" s="7"/>
      <c r="D151" s="7"/>
      <c r="E151" s="7"/>
      <c r="G151" s="72"/>
      <c r="H151" s="72"/>
      <c r="I151" s="7"/>
      <c r="J151" s="7"/>
      <c r="K151" s="7"/>
      <c r="M151" s="72"/>
      <c r="N151" s="72"/>
      <c r="O151" s="7"/>
      <c r="P151" s="7"/>
      <c r="Q151" s="7"/>
      <c r="S151" s="72"/>
      <c r="T151" s="72"/>
      <c r="U151" s="7"/>
      <c r="V151" s="7"/>
      <c r="W151" s="7"/>
    </row>
    <row r="152" spans="1:29" x14ac:dyDescent="0.25">
      <c r="A152" s="72"/>
      <c r="B152" s="6" t="s">
        <v>477</v>
      </c>
      <c r="C152" s="93">
        <f>SUM(C135:C139)</f>
        <v>111</v>
      </c>
      <c r="D152" s="93">
        <f t="shared" ref="D152:E152" si="23">SUM(D135:D139)</f>
        <v>89.85</v>
      </c>
      <c r="E152" s="93">
        <f t="shared" si="23"/>
        <v>868.15000000000009</v>
      </c>
      <c r="G152" s="72"/>
      <c r="H152" s="6">
        <v>1</v>
      </c>
      <c r="I152" s="93">
        <f>SUM(I135:I139)</f>
        <v>114</v>
      </c>
      <c r="J152" s="95">
        <f t="shared" ref="J152:K152" si="24">SUM(J135:J139)</f>
        <v>134.43</v>
      </c>
      <c r="K152" s="93">
        <f t="shared" si="24"/>
        <v>886.71</v>
      </c>
      <c r="M152" s="72"/>
      <c r="N152" s="6">
        <v>1</v>
      </c>
      <c r="O152" s="93">
        <f>SUM(O135:O139)</f>
        <v>103</v>
      </c>
      <c r="P152" s="95">
        <f t="shared" ref="P152:Q152" si="25">SUM(P135:P139)</f>
        <v>27.57</v>
      </c>
      <c r="Q152" s="93">
        <f t="shared" si="25"/>
        <v>809.43</v>
      </c>
      <c r="S152" s="72"/>
      <c r="T152" s="6">
        <v>1</v>
      </c>
      <c r="U152" s="93">
        <f>SUM(U135:U139)</f>
        <v>95</v>
      </c>
      <c r="V152" s="93">
        <f t="shared" ref="V152:W152" si="26">SUM(V135:V139)</f>
        <v>127</v>
      </c>
      <c r="W152" s="93">
        <f t="shared" si="26"/>
        <v>843.14</v>
      </c>
    </row>
    <row r="153" spans="1:29" ht="30" x14ac:dyDescent="0.25">
      <c r="A153" s="68" t="s">
        <v>50</v>
      </c>
      <c r="B153" s="87" t="s">
        <v>478</v>
      </c>
      <c r="C153" s="95">
        <f>SUM(C140:C143)</f>
        <v>67</v>
      </c>
      <c r="D153" s="95">
        <f t="shared" ref="D153:E153" si="27">SUM(D140:D143)</f>
        <v>31.29</v>
      </c>
      <c r="E153" s="95">
        <f t="shared" si="27"/>
        <v>525.01</v>
      </c>
      <c r="G153" s="68" t="s">
        <v>50</v>
      </c>
      <c r="H153" s="87">
        <v>2</v>
      </c>
      <c r="I153" s="95">
        <f>SUM(I140:I143)</f>
        <v>74</v>
      </c>
      <c r="J153" s="93">
        <f t="shared" ref="J153:K153" si="28">SUM(J140:J143)</f>
        <v>134.85999999999999</v>
      </c>
      <c r="K153" s="95">
        <f t="shared" si="28"/>
        <v>591.15000000000009</v>
      </c>
      <c r="M153" s="68" t="s">
        <v>50</v>
      </c>
      <c r="N153" s="87">
        <v>2</v>
      </c>
      <c r="O153" s="95">
        <f>SUM(O140:O143)</f>
        <v>71</v>
      </c>
      <c r="P153" s="93">
        <f t="shared" ref="P153:Q153" si="29">SUM(P140:P143)</f>
        <v>50.43</v>
      </c>
      <c r="Q153" s="95">
        <f t="shared" si="29"/>
        <v>578.86</v>
      </c>
      <c r="S153" s="68" t="s">
        <v>50</v>
      </c>
      <c r="T153" s="87">
        <v>2</v>
      </c>
      <c r="U153" s="95">
        <f>SUM(U140:U143)</f>
        <v>65</v>
      </c>
      <c r="V153" s="95">
        <f t="shared" ref="V153:W153" si="30">SUM(V140:V143)</f>
        <v>28</v>
      </c>
      <c r="W153" s="95">
        <f t="shared" si="30"/>
        <v>542</v>
      </c>
    </row>
    <row r="154" spans="1:29" x14ac:dyDescent="0.25">
      <c r="A154" s="72"/>
      <c r="B154" s="6" t="s">
        <v>479</v>
      </c>
      <c r="C154" s="95">
        <f>SUM(C144:C148)</f>
        <v>88</v>
      </c>
      <c r="D154" s="95">
        <f t="shared" ref="D154:E154" si="31">SUM(D144:D148)</f>
        <v>66.86</v>
      </c>
      <c r="E154" s="95">
        <f t="shared" si="31"/>
        <v>834.14</v>
      </c>
      <c r="G154" s="72"/>
      <c r="H154" s="6">
        <v>3</v>
      </c>
      <c r="I154" s="95">
        <f>SUM(I144:I148)</f>
        <v>89</v>
      </c>
      <c r="J154" s="95">
        <f t="shared" ref="J154:K154" si="32">SUM(J144:J148)</f>
        <v>52.72</v>
      </c>
      <c r="K154" s="95">
        <f t="shared" si="32"/>
        <v>799.43000000000006</v>
      </c>
      <c r="M154" s="72"/>
      <c r="N154" s="6">
        <v>3</v>
      </c>
      <c r="O154" s="95">
        <f>SUM(O144:O148)</f>
        <v>93</v>
      </c>
      <c r="P154" s="95">
        <f t="shared" ref="P154:Q154" si="33">SUM(P144:P148)</f>
        <v>30.28</v>
      </c>
      <c r="Q154" s="95">
        <f t="shared" si="33"/>
        <v>739.13999999999987</v>
      </c>
      <c r="S154" s="72"/>
      <c r="T154" s="6">
        <v>3</v>
      </c>
      <c r="U154" s="95">
        <f>SUM(U144:U148)</f>
        <v>88</v>
      </c>
      <c r="V154" s="95">
        <f t="shared" ref="V154:W154" si="34">SUM(V144:V148)</f>
        <v>62.42</v>
      </c>
      <c r="W154" s="95">
        <f t="shared" si="34"/>
        <v>714.86999999999989</v>
      </c>
    </row>
    <row r="155" spans="1:29" ht="30" x14ac:dyDescent="0.25">
      <c r="A155" s="68" t="s">
        <v>50</v>
      </c>
      <c r="B155" s="6"/>
      <c r="C155" s="66"/>
      <c r="D155" s="66">
        <v>60</v>
      </c>
      <c r="E155" s="66">
        <f>SUM(D150/D155)</f>
        <v>3.2166666666666672</v>
      </c>
      <c r="G155" s="68" t="s">
        <v>50</v>
      </c>
      <c r="H155" s="6"/>
      <c r="I155" s="66"/>
      <c r="J155" s="66">
        <v>57</v>
      </c>
      <c r="K155" s="66">
        <f>SUM(J150/J155)</f>
        <v>5.6492982456140357</v>
      </c>
      <c r="L155" s="66"/>
      <c r="M155" s="68" t="s">
        <v>50</v>
      </c>
      <c r="N155" s="6"/>
      <c r="O155" s="66"/>
      <c r="P155" s="66">
        <v>40</v>
      </c>
      <c r="Q155" s="66">
        <f>SUM(P150/P155)</f>
        <v>2.7069999999999999</v>
      </c>
      <c r="R155" s="66"/>
      <c r="S155" s="68" t="s">
        <v>50</v>
      </c>
      <c r="T155" s="66"/>
      <c r="U155" s="66"/>
      <c r="V155" s="66">
        <v>45</v>
      </c>
      <c r="W155" s="66">
        <f>SUM(V150/V155)</f>
        <v>4.8315555555555543</v>
      </c>
    </row>
    <row r="156" spans="1:29" x14ac:dyDescent="0.25">
      <c r="A156" s="72" t="s">
        <v>41</v>
      </c>
      <c r="B156" s="6"/>
      <c r="C156" s="8"/>
      <c r="D156" s="8"/>
      <c r="E156" s="8"/>
      <c r="G156" s="72" t="s">
        <v>41</v>
      </c>
      <c r="H156" s="6"/>
      <c r="I156" s="8"/>
      <c r="J156" s="8"/>
      <c r="K156" s="8"/>
      <c r="L156" s="8"/>
      <c r="M156" s="72" t="s">
        <v>41</v>
      </c>
      <c r="N156" s="6"/>
      <c r="O156" s="8"/>
      <c r="P156" s="8"/>
      <c r="Q156" s="8"/>
      <c r="R156" s="8"/>
      <c r="S156" s="72" t="s">
        <v>41</v>
      </c>
      <c r="T156" s="6"/>
      <c r="U156" s="8"/>
      <c r="V156" s="8"/>
      <c r="W156" s="8"/>
    </row>
    <row r="157" spans="1:29" x14ac:dyDescent="0.25">
      <c r="C157" s="12" t="e">
        <f>#REF!-#REF!</f>
        <v>#REF!</v>
      </c>
      <c r="D157" s="12" t="e">
        <f>#REF!-#REF!</f>
        <v>#REF!</v>
      </c>
      <c r="E157" s="12" t="e">
        <f>#REF!-#REF!</f>
        <v>#REF!</v>
      </c>
      <c r="I157" s="12" t="e">
        <f>#REF!-#REF!</f>
        <v>#REF!</v>
      </c>
      <c r="J157" s="12" t="e">
        <f>#REF!-#REF!</f>
        <v>#REF!</v>
      </c>
      <c r="K157" s="12" t="e">
        <f>#REF!-#REF!</f>
        <v>#REF!</v>
      </c>
      <c r="L157" s="12"/>
      <c r="O157" s="12" t="e">
        <f>#REF!-#REF!</f>
        <v>#REF!</v>
      </c>
      <c r="P157" s="12" t="e">
        <f>#REF!-#REF!</f>
        <v>#REF!</v>
      </c>
      <c r="Q157" s="12" t="e">
        <f>#REF!-#REF!</f>
        <v>#REF!</v>
      </c>
      <c r="R157" s="12"/>
      <c r="U157" s="12" t="e">
        <f>#REF!-#REF!</f>
        <v>#REF!</v>
      </c>
      <c r="V157" s="12" t="e">
        <f>#REF!-#REF!</f>
        <v>#REF!</v>
      </c>
      <c r="W157" s="12" t="e">
        <f>#REF!-#REF!</f>
        <v>#REF!</v>
      </c>
    </row>
    <row r="159" spans="1:29" ht="18.75" x14ac:dyDescent="0.3">
      <c r="A159" s="69" t="s">
        <v>607</v>
      </c>
      <c r="B159" s="4"/>
      <c r="C159" s="10"/>
      <c r="D159" s="10"/>
      <c r="E159" s="10"/>
      <c r="G159" s="69" t="s">
        <v>608</v>
      </c>
      <c r="H159" s="10"/>
      <c r="I159" s="10"/>
      <c r="J159" s="10"/>
      <c r="M159" s="69" t="s">
        <v>609</v>
      </c>
      <c r="S159" s="69" t="s">
        <v>610</v>
      </c>
    </row>
    <row r="160" spans="1:29" ht="45" x14ac:dyDescent="0.25">
      <c r="A160" s="70"/>
      <c r="B160" s="70"/>
      <c r="C160" s="71" t="s">
        <v>26</v>
      </c>
      <c r="D160" s="71" t="s">
        <v>27</v>
      </c>
      <c r="E160" s="71" t="s">
        <v>28</v>
      </c>
      <c r="G160" s="70"/>
      <c r="H160" s="70"/>
      <c r="I160" s="71" t="s">
        <v>26</v>
      </c>
      <c r="J160" s="71" t="s">
        <v>27</v>
      </c>
      <c r="K160" s="71" t="s">
        <v>28</v>
      </c>
      <c r="M160" s="70"/>
      <c r="N160" s="70"/>
      <c r="O160" s="71" t="s">
        <v>26</v>
      </c>
      <c r="P160" s="71" t="s">
        <v>27</v>
      </c>
      <c r="Q160" s="71" t="s">
        <v>28</v>
      </c>
      <c r="S160" s="70"/>
      <c r="T160" s="70"/>
      <c r="U160" s="71" t="s">
        <v>26</v>
      </c>
      <c r="V160" s="71" t="s">
        <v>27</v>
      </c>
      <c r="W160" s="71" t="s">
        <v>28</v>
      </c>
      <c r="Y160" s="124" t="s">
        <v>685</v>
      </c>
      <c r="AA160" s="71" t="s">
        <v>26</v>
      </c>
      <c r="AB160" s="71" t="s">
        <v>27</v>
      </c>
      <c r="AC160" s="71" t="s">
        <v>28</v>
      </c>
    </row>
    <row r="161" spans="1:29" x14ac:dyDescent="0.25">
      <c r="A161" s="90" t="s">
        <v>29</v>
      </c>
      <c r="B161" s="90"/>
      <c r="C161" s="91">
        <v>34</v>
      </c>
      <c r="D161" s="91">
        <v>14</v>
      </c>
      <c r="E161" s="91">
        <v>242.43</v>
      </c>
      <c r="G161" s="90" t="s">
        <v>29</v>
      </c>
      <c r="H161" s="90"/>
      <c r="I161" s="91">
        <v>32</v>
      </c>
      <c r="J161" s="91">
        <v>25.29</v>
      </c>
      <c r="K161" s="91">
        <v>237</v>
      </c>
      <c r="M161" s="90" t="s">
        <v>29</v>
      </c>
      <c r="N161" s="90"/>
      <c r="O161" s="91">
        <v>30</v>
      </c>
      <c r="P161" s="91">
        <v>14.71</v>
      </c>
      <c r="Q161" s="91">
        <v>225.29</v>
      </c>
      <c r="S161" s="90" t="s">
        <v>29</v>
      </c>
      <c r="T161" s="90"/>
      <c r="U161" s="91">
        <v>30</v>
      </c>
      <c r="V161" s="91">
        <v>24.57</v>
      </c>
      <c r="W161" s="91">
        <v>220.14</v>
      </c>
      <c r="Y161" s="90" t="s">
        <v>29</v>
      </c>
      <c r="AA161" s="91">
        <f>AVERAGE(U161,O161,I161,C161)</f>
        <v>31.5</v>
      </c>
      <c r="AB161" s="91">
        <f>AVERAGE(V161,P161,J161,D161)</f>
        <v>19.642499999999998</v>
      </c>
      <c r="AC161" s="91">
        <f t="shared" ref="AC161:AC174" si="35">AVERAGE(W161,Q161,K161,E161)</f>
        <v>231.21499999999997</v>
      </c>
    </row>
    <row r="162" spans="1:29" x14ac:dyDescent="0.25">
      <c r="A162" s="90" t="s">
        <v>35</v>
      </c>
      <c r="B162" s="90"/>
      <c r="C162" s="91">
        <v>22</v>
      </c>
      <c r="D162" s="91">
        <v>-16.29</v>
      </c>
      <c r="E162" s="91">
        <v>159</v>
      </c>
      <c r="G162" s="90" t="s">
        <v>35</v>
      </c>
      <c r="H162" s="90"/>
      <c r="I162" s="91">
        <v>19</v>
      </c>
      <c r="J162" s="91">
        <v>18.14</v>
      </c>
      <c r="K162" s="91">
        <v>157.57</v>
      </c>
      <c r="M162" s="90" t="s">
        <v>35</v>
      </c>
      <c r="N162" s="90"/>
      <c r="O162" s="91">
        <v>21</v>
      </c>
      <c r="P162" s="91">
        <v>11.14</v>
      </c>
      <c r="Q162" s="91">
        <v>148.71</v>
      </c>
      <c r="S162" s="90" t="s">
        <v>35</v>
      </c>
      <c r="T162" s="90"/>
      <c r="U162" s="91">
        <v>21</v>
      </c>
      <c r="V162" s="91">
        <v>7.71</v>
      </c>
      <c r="W162" s="91">
        <v>135.71</v>
      </c>
      <c r="Y162" s="90" t="s">
        <v>35</v>
      </c>
      <c r="AA162" s="91">
        <f t="shared" ref="AA162:AA173" si="36">AVERAGE(U162,O162,I162,C162)</f>
        <v>20.75</v>
      </c>
      <c r="AB162" s="91">
        <f t="shared" ref="AB162:AB174" si="37">AVERAGE(V162,P162,J162,D162)</f>
        <v>5.1750000000000007</v>
      </c>
      <c r="AC162" s="91">
        <f t="shared" si="35"/>
        <v>150.2475</v>
      </c>
    </row>
    <row r="163" spans="1:29" x14ac:dyDescent="0.25">
      <c r="A163" s="90" t="s">
        <v>30</v>
      </c>
      <c r="B163" s="90"/>
      <c r="C163" s="91">
        <v>13</v>
      </c>
      <c r="D163" s="91">
        <v>19.43</v>
      </c>
      <c r="E163" s="91">
        <v>122.43</v>
      </c>
      <c r="G163" s="90" t="s">
        <v>30</v>
      </c>
      <c r="H163" s="90"/>
      <c r="I163" s="91">
        <v>15</v>
      </c>
      <c r="J163" s="91">
        <v>28</v>
      </c>
      <c r="K163" s="91">
        <v>137.43</v>
      </c>
      <c r="M163" s="90" t="s">
        <v>30</v>
      </c>
      <c r="N163" s="90"/>
      <c r="O163" s="91">
        <v>16</v>
      </c>
      <c r="P163" s="91">
        <v>16.29</v>
      </c>
      <c r="Q163" s="91">
        <v>141.13999999999999</v>
      </c>
      <c r="S163" s="90" t="s">
        <v>30</v>
      </c>
      <c r="T163" s="90"/>
      <c r="U163" s="91">
        <v>16</v>
      </c>
      <c r="V163" s="91">
        <v>8</v>
      </c>
      <c r="W163" s="91">
        <v>134.13999999999999</v>
      </c>
      <c r="Y163" s="90" t="s">
        <v>30</v>
      </c>
      <c r="AA163" s="91">
        <f t="shared" si="36"/>
        <v>15</v>
      </c>
      <c r="AB163" s="91">
        <f t="shared" si="37"/>
        <v>17.93</v>
      </c>
      <c r="AC163" s="91">
        <f t="shared" si="35"/>
        <v>133.785</v>
      </c>
    </row>
    <row r="164" spans="1:29" x14ac:dyDescent="0.25">
      <c r="A164" s="90" t="s">
        <v>32</v>
      </c>
      <c r="B164" s="90"/>
      <c r="C164" s="91">
        <v>17</v>
      </c>
      <c r="D164" s="91">
        <v>-3.86</v>
      </c>
      <c r="E164" s="91">
        <v>122.86</v>
      </c>
      <c r="G164" s="90" t="s">
        <v>32</v>
      </c>
      <c r="H164" s="90"/>
      <c r="I164" s="91">
        <v>16</v>
      </c>
      <c r="J164" s="91">
        <v>3.29</v>
      </c>
      <c r="K164" s="91">
        <v>110.14</v>
      </c>
      <c r="M164" s="90" t="s">
        <v>32</v>
      </c>
      <c r="N164" s="90"/>
      <c r="O164" s="91">
        <v>17</v>
      </c>
      <c r="P164" s="91">
        <v>3.57</v>
      </c>
      <c r="Q164" s="91">
        <v>100.29</v>
      </c>
      <c r="S164" s="90" t="s">
        <v>32</v>
      </c>
      <c r="T164" s="90"/>
      <c r="U164" s="91">
        <v>12</v>
      </c>
      <c r="V164" s="91">
        <v>5.57</v>
      </c>
      <c r="W164" s="91">
        <v>94.29</v>
      </c>
      <c r="Y164" s="90" t="s">
        <v>32</v>
      </c>
      <c r="AA164" s="91">
        <f t="shared" si="36"/>
        <v>15.5</v>
      </c>
      <c r="AB164" s="91">
        <f t="shared" si="37"/>
        <v>2.1425000000000001</v>
      </c>
      <c r="AC164" s="91">
        <f t="shared" si="35"/>
        <v>106.89500000000001</v>
      </c>
    </row>
    <row r="165" spans="1:29" x14ac:dyDescent="0.25">
      <c r="A165" s="90" t="s">
        <v>31</v>
      </c>
      <c r="B165" s="90"/>
      <c r="C165" s="91">
        <v>16</v>
      </c>
      <c r="D165" s="91">
        <v>6</v>
      </c>
      <c r="E165" s="91">
        <v>125</v>
      </c>
      <c r="G165" s="90" t="s">
        <v>31</v>
      </c>
      <c r="H165" s="90"/>
      <c r="I165" s="91">
        <v>17</v>
      </c>
      <c r="J165" s="91">
        <v>-1</v>
      </c>
      <c r="K165" s="91">
        <v>107.14</v>
      </c>
      <c r="M165" s="90" t="s">
        <v>31</v>
      </c>
      <c r="N165" s="90"/>
      <c r="O165" s="91">
        <v>11</v>
      </c>
      <c r="P165" s="91">
        <v>1</v>
      </c>
      <c r="Q165" s="91">
        <v>91.14</v>
      </c>
      <c r="S165" s="90" t="s">
        <v>31</v>
      </c>
      <c r="T165" s="90"/>
      <c r="U165" s="91">
        <v>11</v>
      </c>
      <c r="V165" s="91">
        <v>0</v>
      </c>
      <c r="W165" s="91">
        <v>80.14</v>
      </c>
      <c r="Y165" s="90" t="s">
        <v>31</v>
      </c>
      <c r="AA165" s="91">
        <f t="shared" si="36"/>
        <v>13.75</v>
      </c>
      <c r="AB165" s="91">
        <f t="shared" si="37"/>
        <v>1.5</v>
      </c>
      <c r="AC165" s="91">
        <f t="shared" si="35"/>
        <v>100.855</v>
      </c>
    </row>
    <row r="166" spans="1:29" x14ac:dyDescent="0.25">
      <c r="A166" s="92" t="s">
        <v>472</v>
      </c>
      <c r="B166" s="92"/>
      <c r="C166" s="94">
        <v>1</v>
      </c>
      <c r="D166" s="94">
        <v>5.14</v>
      </c>
      <c r="E166" s="94">
        <v>99.43</v>
      </c>
      <c r="G166" s="92" t="s">
        <v>472</v>
      </c>
      <c r="H166" s="92"/>
      <c r="I166" s="94">
        <v>5</v>
      </c>
      <c r="J166" s="94">
        <v>16.71</v>
      </c>
      <c r="K166" s="94">
        <v>112</v>
      </c>
      <c r="M166" s="92" t="s">
        <v>472</v>
      </c>
      <c r="N166" s="92"/>
      <c r="O166" s="94">
        <v>7</v>
      </c>
      <c r="P166" s="94">
        <v>19.14</v>
      </c>
      <c r="Q166" s="94">
        <v>124.29</v>
      </c>
      <c r="S166" s="92" t="s">
        <v>472</v>
      </c>
      <c r="T166" s="92"/>
      <c r="U166" s="94">
        <v>8</v>
      </c>
      <c r="V166" s="94">
        <v>10</v>
      </c>
      <c r="W166" s="94">
        <v>126.43</v>
      </c>
      <c r="Y166" s="92" t="s">
        <v>472</v>
      </c>
      <c r="AA166" s="92">
        <f t="shared" si="36"/>
        <v>5.25</v>
      </c>
      <c r="AB166" s="92">
        <f t="shared" si="37"/>
        <v>12.7475</v>
      </c>
      <c r="AC166" s="92">
        <f t="shared" si="35"/>
        <v>115.53750000000001</v>
      </c>
    </row>
    <row r="167" spans="1:29" x14ac:dyDescent="0.25">
      <c r="A167" s="92" t="s">
        <v>11</v>
      </c>
      <c r="B167" s="92"/>
      <c r="C167" s="94">
        <v>33</v>
      </c>
      <c r="D167" s="94">
        <v>20.29</v>
      </c>
      <c r="E167" s="94">
        <v>218.14</v>
      </c>
      <c r="G167" s="92" t="s">
        <v>11</v>
      </c>
      <c r="H167" s="92"/>
      <c r="I167" s="94">
        <v>36</v>
      </c>
      <c r="J167" s="94">
        <v>31.29</v>
      </c>
      <c r="K167" s="94">
        <v>213.57</v>
      </c>
      <c r="M167" s="92" t="s">
        <v>11</v>
      </c>
      <c r="N167" s="92"/>
      <c r="O167" s="94">
        <v>36</v>
      </c>
      <c r="P167" s="94">
        <v>23.29</v>
      </c>
      <c r="Q167" s="94">
        <v>205.43</v>
      </c>
      <c r="S167" s="92" t="s">
        <v>11</v>
      </c>
      <c r="T167" s="92"/>
      <c r="U167" s="94">
        <v>35</v>
      </c>
      <c r="V167" s="94">
        <v>24.57</v>
      </c>
      <c r="W167" s="94">
        <v>195.71</v>
      </c>
      <c r="Y167" s="92" t="s">
        <v>11</v>
      </c>
      <c r="AA167" s="92">
        <f t="shared" si="36"/>
        <v>35</v>
      </c>
      <c r="AB167" s="92">
        <f t="shared" si="37"/>
        <v>24.86</v>
      </c>
      <c r="AC167" s="92">
        <f t="shared" si="35"/>
        <v>208.21250000000001</v>
      </c>
    </row>
    <row r="168" spans="1:29" x14ac:dyDescent="0.25">
      <c r="A168" s="92" t="s">
        <v>36</v>
      </c>
      <c r="B168" s="92"/>
      <c r="C168" s="94">
        <v>17</v>
      </c>
      <c r="D168" s="94">
        <v>12.57</v>
      </c>
      <c r="E168" s="94">
        <v>94.86</v>
      </c>
      <c r="G168" s="92" t="s">
        <v>36</v>
      </c>
      <c r="H168" s="92"/>
      <c r="I168" s="94">
        <v>15</v>
      </c>
      <c r="J168" s="94">
        <v>18.14</v>
      </c>
      <c r="K168" s="94">
        <v>98.43</v>
      </c>
      <c r="M168" s="92" t="s">
        <v>36</v>
      </c>
      <c r="N168" s="92"/>
      <c r="O168" s="94">
        <v>14</v>
      </c>
      <c r="P168" s="94">
        <v>0.28999999999999998</v>
      </c>
      <c r="Q168" s="94">
        <v>85.43</v>
      </c>
      <c r="S168" s="92" t="s">
        <v>36</v>
      </c>
      <c r="T168" s="92"/>
      <c r="U168" s="94">
        <v>16</v>
      </c>
      <c r="V168" s="94">
        <v>31.57</v>
      </c>
      <c r="W168" s="94">
        <v>101.71</v>
      </c>
      <c r="Y168" s="92" t="s">
        <v>36</v>
      </c>
      <c r="AA168" s="92">
        <f t="shared" si="36"/>
        <v>15.5</v>
      </c>
      <c r="AB168" s="92">
        <f t="shared" si="37"/>
        <v>15.6425</v>
      </c>
      <c r="AC168" s="92">
        <f t="shared" si="35"/>
        <v>95.107500000000002</v>
      </c>
    </row>
    <row r="169" spans="1:29" x14ac:dyDescent="0.25">
      <c r="A169" s="92" t="s">
        <v>48</v>
      </c>
      <c r="B169" s="92"/>
      <c r="C169" s="94">
        <v>16</v>
      </c>
      <c r="D169" s="94">
        <v>12.71</v>
      </c>
      <c r="E169" s="94">
        <v>115.29</v>
      </c>
      <c r="G169" s="92" t="s">
        <v>48</v>
      </c>
      <c r="H169" s="92"/>
      <c r="I169" s="94">
        <v>15</v>
      </c>
      <c r="J169" s="94">
        <v>3.71</v>
      </c>
      <c r="K169" s="94">
        <v>105.29</v>
      </c>
      <c r="M169" s="92" t="s">
        <v>48</v>
      </c>
      <c r="N169" s="92"/>
      <c r="O169" s="94">
        <v>14</v>
      </c>
      <c r="P169" s="94">
        <v>-0.28999999999999998</v>
      </c>
      <c r="Q169" s="94">
        <v>92.29</v>
      </c>
      <c r="S169" s="92" t="s">
        <v>48</v>
      </c>
      <c r="T169" s="92"/>
      <c r="U169" s="94">
        <v>12</v>
      </c>
      <c r="V169" s="94">
        <v>17.29</v>
      </c>
      <c r="W169" s="94">
        <v>97.57</v>
      </c>
      <c r="Y169" s="92" t="s">
        <v>48</v>
      </c>
      <c r="AA169" s="92">
        <f t="shared" si="36"/>
        <v>14.25</v>
      </c>
      <c r="AB169" s="92">
        <f t="shared" si="37"/>
        <v>8.3550000000000004</v>
      </c>
      <c r="AC169" s="92">
        <f t="shared" si="35"/>
        <v>102.61000000000001</v>
      </c>
    </row>
    <row r="170" spans="1:29" x14ac:dyDescent="0.25">
      <c r="A170" s="27" t="s">
        <v>37</v>
      </c>
      <c r="B170" s="27"/>
      <c r="C170" s="28">
        <v>14</v>
      </c>
      <c r="D170" s="28">
        <v>24</v>
      </c>
      <c r="E170" s="28">
        <v>112.14</v>
      </c>
      <c r="G170" s="27" t="s">
        <v>37</v>
      </c>
      <c r="H170" s="27"/>
      <c r="I170" s="28">
        <v>12</v>
      </c>
      <c r="J170" s="28">
        <v>6.43</v>
      </c>
      <c r="K170" s="28">
        <v>6.43</v>
      </c>
      <c r="M170" s="27" t="s">
        <v>37</v>
      </c>
      <c r="N170" s="27"/>
      <c r="O170" s="28">
        <v>13</v>
      </c>
      <c r="P170" s="28">
        <v>40.86</v>
      </c>
      <c r="Q170" s="28">
        <v>133</v>
      </c>
      <c r="S170" s="27" t="s">
        <v>37</v>
      </c>
      <c r="T170" s="27"/>
      <c r="U170" s="28">
        <v>13</v>
      </c>
      <c r="V170" s="28">
        <v>23.57</v>
      </c>
      <c r="W170" s="28">
        <v>142.57</v>
      </c>
      <c r="Y170" s="27" t="s">
        <v>37</v>
      </c>
      <c r="AA170" s="27">
        <f t="shared" si="36"/>
        <v>13</v>
      </c>
      <c r="AB170" s="27">
        <f t="shared" si="37"/>
        <v>23.715000000000003</v>
      </c>
      <c r="AC170" s="27">
        <f t="shared" si="35"/>
        <v>98.534999999999997</v>
      </c>
    </row>
    <row r="171" spans="1:29" x14ac:dyDescent="0.25">
      <c r="A171" s="27" t="s">
        <v>9</v>
      </c>
      <c r="B171" s="27"/>
      <c r="C171" s="28">
        <v>20</v>
      </c>
      <c r="D171" s="28">
        <v>18</v>
      </c>
      <c r="E171" s="28">
        <v>149.71</v>
      </c>
      <c r="G171" s="27" t="s">
        <v>9</v>
      </c>
      <c r="H171" s="27"/>
      <c r="I171" s="28">
        <v>21</v>
      </c>
      <c r="J171" s="28">
        <v>0.71</v>
      </c>
      <c r="K171" s="28">
        <v>130.29</v>
      </c>
      <c r="M171" s="27" t="s">
        <v>9</v>
      </c>
      <c r="N171" s="27"/>
      <c r="O171" s="28">
        <v>20</v>
      </c>
      <c r="P171" s="28">
        <v>31.57</v>
      </c>
      <c r="Q171" s="28">
        <v>145.57</v>
      </c>
      <c r="S171" s="27" t="s">
        <v>9</v>
      </c>
      <c r="T171" s="27"/>
      <c r="U171" s="28">
        <v>19</v>
      </c>
      <c r="V171" s="28">
        <v>19</v>
      </c>
      <c r="W171" s="28">
        <v>146.71</v>
      </c>
      <c r="Y171" s="27" t="s">
        <v>9</v>
      </c>
      <c r="AA171" s="27">
        <f t="shared" si="36"/>
        <v>20</v>
      </c>
      <c r="AB171" s="27">
        <f t="shared" si="37"/>
        <v>17.32</v>
      </c>
      <c r="AC171" s="27">
        <f t="shared" si="35"/>
        <v>143.07</v>
      </c>
    </row>
    <row r="172" spans="1:29" x14ac:dyDescent="0.25">
      <c r="A172" s="27" t="s">
        <v>12</v>
      </c>
      <c r="B172" s="27"/>
      <c r="C172" s="28">
        <v>19</v>
      </c>
      <c r="D172" s="28">
        <v>9.7100000000000009</v>
      </c>
      <c r="E172" s="28">
        <v>166.29</v>
      </c>
      <c r="G172" s="27" t="s">
        <v>12</v>
      </c>
      <c r="H172" s="27"/>
      <c r="I172" s="28">
        <v>21</v>
      </c>
      <c r="J172" s="28">
        <v>5.86</v>
      </c>
      <c r="K172" s="28">
        <v>151.71</v>
      </c>
      <c r="M172" s="27" t="s">
        <v>12</v>
      </c>
      <c r="N172" s="27"/>
      <c r="O172" s="28">
        <v>21</v>
      </c>
      <c r="P172" s="28">
        <v>15.71</v>
      </c>
      <c r="Q172" s="28">
        <v>147.43</v>
      </c>
      <c r="S172" s="27" t="s">
        <v>12</v>
      </c>
      <c r="T172" s="27"/>
      <c r="U172" s="28">
        <v>23</v>
      </c>
      <c r="V172" s="28">
        <v>0</v>
      </c>
      <c r="W172" s="28">
        <v>124.57</v>
      </c>
      <c r="Y172" s="27" t="s">
        <v>12</v>
      </c>
      <c r="AA172" s="27">
        <f t="shared" si="36"/>
        <v>21</v>
      </c>
      <c r="AB172" s="27">
        <f t="shared" si="37"/>
        <v>7.82</v>
      </c>
      <c r="AC172" s="27">
        <f t="shared" si="35"/>
        <v>147.5</v>
      </c>
    </row>
    <row r="173" spans="1:29" x14ac:dyDescent="0.25">
      <c r="A173" s="27" t="s">
        <v>10</v>
      </c>
      <c r="B173" s="27"/>
      <c r="C173" s="28">
        <v>15</v>
      </c>
      <c r="D173" s="28">
        <v>15.57</v>
      </c>
      <c r="E173" s="28">
        <v>164.57</v>
      </c>
      <c r="G173" s="27" t="s">
        <v>10</v>
      </c>
      <c r="H173" s="27"/>
      <c r="I173" s="28">
        <v>15</v>
      </c>
      <c r="J173" s="28">
        <v>11.71</v>
      </c>
      <c r="K173" s="28">
        <v>161.43</v>
      </c>
      <c r="M173" s="27" t="s">
        <v>10</v>
      </c>
      <c r="N173" s="27"/>
      <c r="O173" s="28">
        <v>19</v>
      </c>
      <c r="P173" s="28">
        <v>36.14</v>
      </c>
      <c r="Q173" s="28">
        <v>180.86</v>
      </c>
      <c r="S173" s="27" t="s">
        <v>10</v>
      </c>
      <c r="T173" s="27"/>
      <c r="U173" s="28">
        <v>18</v>
      </c>
      <c r="V173" s="28">
        <v>9</v>
      </c>
      <c r="W173" s="28">
        <v>173.57</v>
      </c>
      <c r="Y173" s="27" t="s">
        <v>10</v>
      </c>
      <c r="AA173" s="27">
        <f t="shared" si="36"/>
        <v>16.75</v>
      </c>
      <c r="AB173" s="27">
        <f t="shared" si="37"/>
        <v>18.105</v>
      </c>
      <c r="AC173" s="27">
        <f t="shared" si="35"/>
        <v>170.10750000000002</v>
      </c>
    </row>
    <row r="174" spans="1:29" x14ac:dyDescent="0.25">
      <c r="A174" s="27" t="s">
        <v>473</v>
      </c>
      <c r="B174" s="27"/>
      <c r="C174" s="28">
        <v>16</v>
      </c>
      <c r="D174" s="28">
        <v>8</v>
      </c>
      <c r="E174" s="28">
        <v>109.71</v>
      </c>
      <c r="G174" s="27" t="s">
        <v>473</v>
      </c>
      <c r="H174" s="27"/>
      <c r="I174" s="28">
        <v>14</v>
      </c>
      <c r="J174" s="28">
        <v>0</v>
      </c>
      <c r="K174" s="28">
        <v>95.86</v>
      </c>
      <c r="M174" s="27" t="s">
        <v>473</v>
      </c>
      <c r="N174" s="27"/>
      <c r="O174" s="28">
        <v>16</v>
      </c>
      <c r="P174" s="28">
        <v>20.29</v>
      </c>
      <c r="Q174" s="28">
        <v>106.14</v>
      </c>
      <c r="S174" s="27" t="s">
        <v>473</v>
      </c>
      <c r="T174" s="27"/>
      <c r="U174" s="28">
        <v>19</v>
      </c>
      <c r="V174" s="28">
        <v>16.43</v>
      </c>
      <c r="W174" s="28">
        <v>104.43</v>
      </c>
      <c r="Y174" s="27" t="s">
        <v>473</v>
      </c>
      <c r="AA174" s="27">
        <f>AVERAGE(U174,O174,I174,C174)</f>
        <v>16.25</v>
      </c>
      <c r="AB174" s="27">
        <f t="shared" si="37"/>
        <v>11.18</v>
      </c>
      <c r="AC174" s="27">
        <f t="shared" si="35"/>
        <v>104.035</v>
      </c>
    </row>
    <row r="175" spans="1:29" x14ac:dyDescent="0.25">
      <c r="A175" s="2" t="s">
        <v>474</v>
      </c>
      <c r="B175" s="2"/>
      <c r="C175" s="28">
        <v>6</v>
      </c>
      <c r="D175" s="28"/>
      <c r="E175" s="28"/>
      <c r="G175" s="2" t="s">
        <v>649</v>
      </c>
      <c r="H175" s="2"/>
      <c r="I175" s="28">
        <v>5</v>
      </c>
      <c r="J175" s="28"/>
      <c r="K175" s="28"/>
      <c r="M175" s="2" t="s">
        <v>649</v>
      </c>
      <c r="N175" s="2"/>
      <c r="O175" s="28">
        <v>5</v>
      </c>
      <c r="P175" s="28"/>
      <c r="Q175" s="28"/>
      <c r="S175" s="2" t="s">
        <v>649</v>
      </c>
      <c r="T175" s="2"/>
      <c r="U175" s="28">
        <v>6</v>
      </c>
      <c r="V175" s="28"/>
      <c r="W175" s="28"/>
      <c r="Y175" s="2" t="s">
        <v>649</v>
      </c>
      <c r="AA175" s="28">
        <v>6</v>
      </c>
      <c r="AB175" s="28"/>
      <c r="AC175" s="28"/>
    </row>
    <row r="176" spans="1:29" x14ac:dyDescent="0.25">
      <c r="A176" s="72" t="s">
        <v>39</v>
      </c>
      <c r="B176" s="72"/>
      <c r="C176" s="8">
        <f>SUM(C159:C175)</f>
        <v>259</v>
      </c>
      <c r="D176" s="8">
        <f>SUM(D159:D175)</f>
        <v>145.27000000000001</v>
      </c>
      <c r="E176" s="8">
        <f>SUM(E159:E175)</f>
        <v>2001.86</v>
      </c>
      <c r="G176" s="72" t="s">
        <v>39</v>
      </c>
      <c r="H176" s="72"/>
      <c r="I176" s="8">
        <f>SUM(I159:I175)</f>
        <v>258</v>
      </c>
      <c r="J176" s="8">
        <f>SUM(J159:J175)</f>
        <v>168.28000000000006</v>
      </c>
      <c r="K176" s="8">
        <f>SUM(K159:K175)</f>
        <v>1824.29</v>
      </c>
      <c r="M176" s="72" t="s">
        <v>39</v>
      </c>
      <c r="N176" s="72"/>
      <c r="O176" s="8">
        <f>SUM(O159:O175)</f>
        <v>260</v>
      </c>
      <c r="P176" s="8">
        <f>SUM(P159:P175)</f>
        <v>233.71</v>
      </c>
      <c r="Q176" s="8">
        <f>SUM(Q159:Q175)</f>
        <v>1927.01</v>
      </c>
      <c r="S176" s="72" t="s">
        <v>39</v>
      </c>
      <c r="T176" s="72"/>
      <c r="U176" s="8">
        <f>SUM(U159:U175)</f>
        <v>259</v>
      </c>
      <c r="V176" s="8">
        <f>SUM(V159:V175)</f>
        <v>197.28</v>
      </c>
      <c r="W176" s="8">
        <f>SUM(W159:W175)</f>
        <v>1877.6899999999998</v>
      </c>
      <c r="Y176" s="127" t="s">
        <v>693</v>
      </c>
      <c r="AA176" s="127">
        <f>AVERAGE(AA161:AA175)</f>
        <v>17.3</v>
      </c>
      <c r="AB176" s="229">
        <f>AVERAGE(AB161:AB175)</f>
        <v>13.295357142857142</v>
      </c>
      <c r="AC176" s="229">
        <f t="shared" ref="AC176" si="38">AVERAGE(AC161:AC175)</f>
        <v>136.26517857142861</v>
      </c>
    </row>
    <row r="177" spans="1:42" x14ac:dyDescent="0.25">
      <c r="A177" s="72"/>
      <c r="B177" s="72"/>
      <c r="C177" s="7"/>
      <c r="D177" s="7"/>
      <c r="E177" s="7"/>
      <c r="G177" s="72"/>
      <c r="H177" s="72"/>
      <c r="I177" s="7"/>
      <c r="J177" s="7"/>
      <c r="K177" s="7"/>
      <c r="M177" s="72"/>
      <c r="N177" s="72"/>
      <c r="O177" s="7"/>
      <c r="P177" s="7"/>
      <c r="Q177" s="7"/>
      <c r="S177" s="72"/>
      <c r="T177" s="72"/>
      <c r="U177" s="7"/>
      <c r="V177" s="7"/>
      <c r="W177" s="7"/>
    </row>
    <row r="178" spans="1:42" x14ac:dyDescent="0.25">
      <c r="A178" s="72"/>
      <c r="B178" s="6" t="s">
        <v>477</v>
      </c>
      <c r="C178" s="93">
        <f>SUM(C161:C165)</f>
        <v>102</v>
      </c>
      <c r="D178" s="95">
        <f t="shared" ref="D178:E178" si="39">SUM(D161:D165)</f>
        <v>19.28</v>
      </c>
      <c r="E178" s="93">
        <f t="shared" si="39"/>
        <v>771.72</v>
      </c>
      <c r="G178" s="72"/>
      <c r="H178" s="6">
        <v>1</v>
      </c>
      <c r="I178" s="93">
        <f>SUM(I161:I165)</f>
        <v>99</v>
      </c>
      <c r="J178" s="93">
        <f t="shared" ref="J178:K178" si="40">SUM(J161:J165)</f>
        <v>73.720000000000013</v>
      </c>
      <c r="K178" s="93">
        <f t="shared" si="40"/>
        <v>749.28</v>
      </c>
      <c r="M178" s="72"/>
      <c r="N178" s="6">
        <v>1</v>
      </c>
      <c r="O178" s="93">
        <f>SUM(O161:O165)</f>
        <v>95</v>
      </c>
      <c r="P178" s="95">
        <f t="shared" ref="P178:Q178" si="41">SUM(P161:P165)</f>
        <v>46.71</v>
      </c>
      <c r="Q178" s="95">
        <f t="shared" si="41"/>
        <v>706.56999999999994</v>
      </c>
      <c r="S178" s="72"/>
      <c r="T178" s="6">
        <v>1</v>
      </c>
      <c r="U178" s="95">
        <f>SUM(U161:U165)</f>
        <v>90</v>
      </c>
      <c r="V178" s="95">
        <f t="shared" ref="V178:W178" si="42">SUM(V161:V165)</f>
        <v>45.85</v>
      </c>
      <c r="W178" s="95">
        <f t="shared" si="42"/>
        <v>664.42</v>
      </c>
    </row>
    <row r="179" spans="1:42" ht="30" x14ac:dyDescent="0.25">
      <c r="A179" s="68" t="s">
        <v>50</v>
      </c>
      <c r="B179" s="87" t="s">
        <v>478</v>
      </c>
      <c r="C179" s="95">
        <f>SUM(C166:C169)</f>
        <v>67</v>
      </c>
      <c r="D179" s="95">
        <f t="shared" ref="D179:E179" si="43">SUM(D166:D169)</f>
        <v>50.71</v>
      </c>
      <c r="E179" s="95">
        <f t="shared" si="43"/>
        <v>527.72</v>
      </c>
      <c r="G179" s="68" t="s">
        <v>50</v>
      </c>
      <c r="H179" s="87">
        <v>2</v>
      </c>
      <c r="I179" s="95">
        <f>SUM(I166:I169)</f>
        <v>71</v>
      </c>
      <c r="J179" s="95">
        <f t="shared" ref="J179:K179" si="44">SUM(J166:J169)</f>
        <v>69.849999999999994</v>
      </c>
      <c r="K179" s="95">
        <f t="shared" si="44"/>
        <v>529.29</v>
      </c>
      <c r="M179" s="68" t="s">
        <v>50</v>
      </c>
      <c r="N179" s="87">
        <v>2</v>
      </c>
      <c r="O179" s="95">
        <f>SUM(O166:O169)</f>
        <v>71</v>
      </c>
      <c r="P179" s="95">
        <f t="shared" ref="P179:Q179" si="45">SUM(P166:P169)</f>
        <v>42.43</v>
      </c>
      <c r="Q179" s="95">
        <f t="shared" si="45"/>
        <v>507.44000000000005</v>
      </c>
      <c r="S179" s="68" t="s">
        <v>50</v>
      </c>
      <c r="T179" s="87">
        <v>2</v>
      </c>
      <c r="U179" s="95">
        <f>SUM(U166:U169)</f>
        <v>71</v>
      </c>
      <c r="V179" s="93">
        <f t="shared" ref="V179:W179" si="46">SUM(V166:V169)</f>
        <v>83.43</v>
      </c>
      <c r="W179" s="95">
        <f t="shared" si="46"/>
        <v>521.41999999999996</v>
      </c>
    </row>
    <row r="180" spans="1:42" x14ac:dyDescent="0.25">
      <c r="A180" s="72"/>
      <c r="B180" s="6" t="s">
        <v>479</v>
      </c>
      <c r="C180" s="95">
        <f>SUM(C170:C174)</f>
        <v>84</v>
      </c>
      <c r="D180" s="93">
        <f t="shared" ref="D180:E180" si="47">SUM(D170:D174)</f>
        <v>75.28</v>
      </c>
      <c r="E180" s="95">
        <f t="shared" si="47"/>
        <v>702.42000000000007</v>
      </c>
      <c r="G180" s="72"/>
      <c r="H180" s="6">
        <v>3</v>
      </c>
      <c r="I180" s="95">
        <f>SUM(I170:I174)</f>
        <v>83</v>
      </c>
      <c r="J180" s="95">
        <f t="shared" ref="J180:K180" si="48">SUM(J170:J174)</f>
        <v>24.71</v>
      </c>
      <c r="K180" s="95">
        <f t="shared" si="48"/>
        <v>545.72</v>
      </c>
      <c r="M180" s="72"/>
      <c r="N180" s="6">
        <v>3</v>
      </c>
      <c r="O180" s="95">
        <f>SUM(O170:O174)</f>
        <v>89</v>
      </c>
      <c r="P180" s="93">
        <f t="shared" ref="P180:Q180" si="49">SUM(P170:P174)</f>
        <v>144.57000000000002</v>
      </c>
      <c r="Q180" s="93">
        <f t="shared" si="49"/>
        <v>713</v>
      </c>
      <c r="S180" s="72"/>
      <c r="T180" s="6">
        <v>3</v>
      </c>
      <c r="U180" s="93">
        <f>SUM(U170:U174)</f>
        <v>92</v>
      </c>
      <c r="V180" s="95">
        <f t="shared" ref="V180:W180" si="50">SUM(V170:V174)</f>
        <v>68</v>
      </c>
      <c r="W180" s="93">
        <f t="shared" si="50"/>
        <v>691.84999999999991</v>
      </c>
    </row>
    <row r="181" spans="1:42" ht="30" x14ac:dyDescent="0.25">
      <c r="A181" s="68" t="s">
        <v>50</v>
      </c>
      <c r="B181" s="6"/>
      <c r="C181" s="66"/>
      <c r="D181" s="66">
        <v>73</v>
      </c>
      <c r="E181" s="66">
        <f>SUM(D176/D181)</f>
        <v>1.9900000000000002</v>
      </c>
      <c r="G181" s="68" t="s">
        <v>50</v>
      </c>
      <c r="H181" s="6"/>
      <c r="I181" s="66"/>
      <c r="J181" s="66">
        <v>42</v>
      </c>
      <c r="K181" s="66">
        <f>SUM(J176/J181)</f>
        <v>4.0066666666666677</v>
      </c>
      <c r="L181" s="66"/>
      <c r="M181" s="68" t="s">
        <v>50</v>
      </c>
      <c r="N181" s="6"/>
      <c r="O181" s="66"/>
      <c r="P181" s="66">
        <v>53</v>
      </c>
      <c r="Q181" s="66">
        <f>SUM(P176/P181)</f>
        <v>4.4096226415094337</v>
      </c>
      <c r="R181" s="66"/>
      <c r="S181" s="68" t="s">
        <v>50</v>
      </c>
      <c r="T181" s="66"/>
      <c r="U181" s="66"/>
      <c r="V181" s="66">
        <v>43</v>
      </c>
      <c r="W181" s="66">
        <f>SUM(V176/V181)</f>
        <v>4.5879069767441862</v>
      </c>
    </row>
    <row r="182" spans="1:42" x14ac:dyDescent="0.25">
      <c r="A182" s="72" t="s">
        <v>41</v>
      </c>
      <c r="B182" s="6"/>
      <c r="C182" s="8"/>
      <c r="D182" s="8"/>
      <c r="E182" s="8"/>
      <c r="G182" s="72" t="s">
        <v>41</v>
      </c>
      <c r="H182" s="6"/>
      <c r="I182" s="8"/>
      <c r="J182" s="8"/>
      <c r="K182" s="8"/>
      <c r="L182" s="8"/>
      <c r="M182" s="72" t="s">
        <v>41</v>
      </c>
      <c r="N182" s="6"/>
      <c r="O182" s="8"/>
      <c r="P182" s="8"/>
      <c r="Q182" s="8"/>
      <c r="R182" s="8"/>
      <c r="S182" s="72" t="s">
        <v>41</v>
      </c>
      <c r="T182" s="6"/>
      <c r="U182" s="8"/>
      <c r="V182" s="8"/>
      <c r="W182" s="8"/>
    </row>
    <row r="183" spans="1:42" x14ac:dyDescent="0.25">
      <c r="C183" s="12" t="e">
        <f>#REF!-#REF!</f>
        <v>#REF!</v>
      </c>
      <c r="D183" s="12" t="e">
        <f>#REF!-#REF!</f>
        <v>#REF!</v>
      </c>
      <c r="E183" s="12" t="e">
        <f>#REF!-#REF!</f>
        <v>#REF!</v>
      </c>
      <c r="I183" s="12" t="e">
        <f>#REF!-#REF!</f>
        <v>#REF!</v>
      </c>
      <c r="J183" s="12" t="e">
        <f>#REF!-#REF!</f>
        <v>#REF!</v>
      </c>
      <c r="K183" s="12" t="e">
        <f>#REF!-#REF!</f>
        <v>#REF!</v>
      </c>
      <c r="L183" s="12"/>
      <c r="O183" s="12" t="e">
        <f>#REF!-#REF!</f>
        <v>#REF!</v>
      </c>
      <c r="P183" s="12" t="e">
        <f>#REF!-#REF!</f>
        <v>#REF!</v>
      </c>
      <c r="Q183" s="12" t="e">
        <f>#REF!-#REF!</f>
        <v>#REF!</v>
      </c>
      <c r="R183" s="12"/>
      <c r="U183" s="12" t="e">
        <f>#REF!-#REF!</f>
        <v>#REF!</v>
      </c>
      <c r="V183" s="12" t="e">
        <f>#REF!-#REF!</f>
        <v>#REF!</v>
      </c>
      <c r="W183" s="12" t="e">
        <f>#REF!-#REF!</f>
        <v>#REF!</v>
      </c>
    </row>
    <row r="185" spans="1:42" ht="18.75" x14ac:dyDescent="0.3">
      <c r="A185" s="69" t="s">
        <v>650</v>
      </c>
      <c r="B185" s="4"/>
      <c r="C185" s="10"/>
      <c r="D185" s="10"/>
      <c r="E185" s="10"/>
      <c r="G185" s="69" t="s">
        <v>651</v>
      </c>
      <c r="H185" s="10"/>
      <c r="I185" s="10"/>
      <c r="J185" s="10"/>
      <c r="M185" s="69" t="s">
        <v>652</v>
      </c>
      <c r="S185" s="69" t="s">
        <v>653</v>
      </c>
      <c r="Y185" s="69" t="s">
        <v>654</v>
      </c>
      <c r="AJ185" t="s">
        <v>657</v>
      </c>
    </row>
    <row r="186" spans="1:42" ht="45" x14ac:dyDescent="0.25">
      <c r="A186" s="70"/>
      <c r="B186" s="70"/>
      <c r="C186" s="71" t="s">
        <v>26</v>
      </c>
      <c r="D186" s="71" t="s">
        <v>27</v>
      </c>
      <c r="E186" s="71" t="s">
        <v>28</v>
      </c>
      <c r="G186" s="70"/>
      <c r="H186" s="70"/>
      <c r="I186" s="71" t="s">
        <v>26</v>
      </c>
      <c r="J186" s="71" t="s">
        <v>27</v>
      </c>
      <c r="K186" s="71" t="s">
        <v>28</v>
      </c>
      <c r="M186" s="70"/>
      <c r="N186" s="70"/>
      <c r="O186" s="71" t="s">
        <v>26</v>
      </c>
      <c r="P186" s="71" t="s">
        <v>27</v>
      </c>
      <c r="Q186" s="71" t="s">
        <v>28</v>
      </c>
      <c r="S186" s="70"/>
      <c r="T186" s="70"/>
      <c r="U186" s="71" t="s">
        <v>26</v>
      </c>
      <c r="V186" s="71" t="s">
        <v>27</v>
      </c>
      <c r="W186" s="71" t="s">
        <v>28</v>
      </c>
      <c r="Y186" s="70"/>
      <c r="Z186" s="70"/>
      <c r="AA186" s="71" t="s">
        <v>26</v>
      </c>
      <c r="AB186" s="71" t="s">
        <v>27</v>
      </c>
      <c r="AC186" s="71" t="s">
        <v>28</v>
      </c>
      <c r="AE186" s="124" t="s">
        <v>685</v>
      </c>
      <c r="AF186" s="71" t="s">
        <v>26</v>
      </c>
      <c r="AG186" s="71" t="s">
        <v>27</v>
      </c>
      <c r="AH186" s="71" t="s">
        <v>28</v>
      </c>
      <c r="AJ186" s="124" t="s">
        <v>685</v>
      </c>
      <c r="AK186" s="71" t="s">
        <v>26</v>
      </c>
      <c r="AL186" s="71" t="s">
        <v>27</v>
      </c>
      <c r="AM186" s="71" t="s">
        <v>28</v>
      </c>
    </row>
    <row r="187" spans="1:42" x14ac:dyDescent="0.25">
      <c r="A187" s="90" t="s">
        <v>29</v>
      </c>
      <c r="B187" s="90"/>
      <c r="C187" s="91">
        <v>29</v>
      </c>
      <c r="D187" s="91">
        <v>37.29</v>
      </c>
      <c r="E187" s="91">
        <v>229.57</v>
      </c>
      <c r="G187" s="90" t="s">
        <v>29</v>
      </c>
      <c r="H187" s="90"/>
      <c r="I187" s="91">
        <v>29</v>
      </c>
      <c r="J187" s="91">
        <v>17.14</v>
      </c>
      <c r="K187" s="91">
        <v>219.14</v>
      </c>
      <c r="M187" s="90" t="s">
        <v>29</v>
      </c>
      <c r="N187" s="90"/>
      <c r="O187" s="91">
        <v>25</v>
      </c>
      <c r="P187" s="91">
        <v>36.43</v>
      </c>
      <c r="Q187" s="91">
        <v>230.71</v>
      </c>
      <c r="S187" s="90" t="s">
        <v>29</v>
      </c>
      <c r="T187" s="90"/>
      <c r="U187" s="91">
        <v>28</v>
      </c>
      <c r="V187" s="91">
        <v>4</v>
      </c>
      <c r="W187" s="91">
        <v>207.57</v>
      </c>
      <c r="Y187" s="90" t="s">
        <v>29</v>
      </c>
      <c r="Z187" s="90"/>
      <c r="AA187" s="91">
        <v>29</v>
      </c>
      <c r="AB187" s="91">
        <v>36.43</v>
      </c>
      <c r="AC187" s="91">
        <v>215.86</v>
      </c>
      <c r="AE187" s="90" t="s">
        <v>29</v>
      </c>
      <c r="AF187" s="90">
        <f t="shared" ref="AF187:AF200" si="51">AVERAGE(AA187,U187,O187,I187,C187)</f>
        <v>28</v>
      </c>
      <c r="AG187" s="90">
        <f t="shared" ref="AG187:AG200" si="52">AVERAGE(AB187,V187,P187,J187,D187)</f>
        <v>26.257999999999999</v>
      </c>
      <c r="AH187" s="90">
        <f t="shared" ref="AH187:AH200" si="53">AVERAGE(AC187,W187,Q187,K187,E187)</f>
        <v>220.57</v>
      </c>
      <c r="AJ187" s="144" t="s">
        <v>29</v>
      </c>
      <c r="AK187" s="144">
        <v>28</v>
      </c>
      <c r="AL187" s="144">
        <v>26.257999999999999</v>
      </c>
      <c r="AM187" s="144">
        <v>220.57</v>
      </c>
    </row>
    <row r="188" spans="1:42" x14ac:dyDescent="0.25">
      <c r="A188" s="90" t="s">
        <v>35</v>
      </c>
      <c r="B188" s="90"/>
      <c r="C188" s="91">
        <v>18</v>
      </c>
      <c r="D188" s="91">
        <v>39.29</v>
      </c>
      <c r="E188" s="91">
        <v>157.29</v>
      </c>
      <c r="G188" s="90" t="s">
        <v>35</v>
      </c>
      <c r="H188" s="90"/>
      <c r="I188" s="91">
        <v>19</v>
      </c>
      <c r="J188" s="91">
        <v>30.43</v>
      </c>
      <c r="K188" s="91">
        <v>169</v>
      </c>
      <c r="M188" s="90" t="s">
        <v>35</v>
      </c>
      <c r="N188" s="90"/>
      <c r="O188" s="91">
        <v>17</v>
      </c>
      <c r="P188" s="91">
        <v>3.71</v>
      </c>
      <c r="Q188" s="91">
        <v>155.57</v>
      </c>
      <c r="S188" s="90" t="s">
        <v>35</v>
      </c>
      <c r="T188" s="90"/>
      <c r="U188" s="91">
        <v>20</v>
      </c>
      <c r="V188" s="91">
        <v>17.43</v>
      </c>
      <c r="W188" s="91">
        <v>155.43</v>
      </c>
      <c r="Y188" s="90" t="s">
        <v>35</v>
      </c>
      <c r="Z188" s="90"/>
      <c r="AA188" s="91">
        <v>18</v>
      </c>
      <c r="AB188" s="91">
        <v>10</v>
      </c>
      <c r="AC188" s="91">
        <v>148.29</v>
      </c>
      <c r="AE188" s="90" t="s">
        <v>35</v>
      </c>
      <c r="AF188" s="90">
        <f t="shared" si="51"/>
        <v>18.399999999999999</v>
      </c>
      <c r="AG188" s="90">
        <f t="shared" si="52"/>
        <v>20.172000000000001</v>
      </c>
      <c r="AH188" s="90">
        <f t="shared" si="53"/>
        <v>157.11599999999999</v>
      </c>
      <c r="AJ188" s="144" t="s">
        <v>35</v>
      </c>
      <c r="AK188" s="144">
        <v>18.399999999999999</v>
      </c>
      <c r="AL188" s="144">
        <v>20.172000000000001</v>
      </c>
      <c r="AM188" s="144">
        <v>157.11599999999999</v>
      </c>
    </row>
    <row r="189" spans="1:42" x14ac:dyDescent="0.25">
      <c r="A189" s="90" t="s">
        <v>30</v>
      </c>
      <c r="B189" s="90"/>
      <c r="C189" s="91">
        <v>17</v>
      </c>
      <c r="D189" s="91">
        <v>43.14</v>
      </c>
      <c r="E189" s="91">
        <v>160.71</v>
      </c>
      <c r="G189" s="90" t="s">
        <v>30</v>
      </c>
      <c r="H189" s="90"/>
      <c r="I189" s="91">
        <v>18</v>
      </c>
      <c r="J189" s="91">
        <v>25</v>
      </c>
      <c r="K189" s="91">
        <v>165.86</v>
      </c>
      <c r="M189" s="90" t="s">
        <v>30</v>
      </c>
      <c r="N189" s="90"/>
      <c r="O189" s="91">
        <v>19</v>
      </c>
      <c r="P189" s="91">
        <v>2.86</v>
      </c>
      <c r="Q189" s="91">
        <v>150.71</v>
      </c>
      <c r="S189" s="123" t="s">
        <v>30</v>
      </c>
      <c r="T189" s="90"/>
      <c r="U189" s="91">
        <v>18</v>
      </c>
      <c r="V189" s="91">
        <v>-12</v>
      </c>
      <c r="W189" s="91">
        <v>120.43</v>
      </c>
      <c r="Y189" s="123" t="s">
        <v>30</v>
      </c>
      <c r="Z189" s="90"/>
      <c r="AA189" s="91">
        <v>18</v>
      </c>
      <c r="AB189" s="91">
        <v>6.43</v>
      </c>
      <c r="AC189" s="91">
        <v>109.43</v>
      </c>
      <c r="AE189" s="90" t="s">
        <v>30</v>
      </c>
      <c r="AF189" s="90">
        <f t="shared" si="51"/>
        <v>18</v>
      </c>
      <c r="AG189" s="90">
        <f t="shared" si="52"/>
        <v>13.086000000000002</v>
      </c>
      <c r="AH189" s="90">
        <f t="shared" si="53"/>
        <v>141.42800000000003</v>
      </c>
      <c r="AJ189" s="144" t="s">
        <v>11</v>
      </c>
      <c r="AK189" s="144">
        <v>24.8</v>
      </c>
      <c r="AL189" s="144">
        <v>25.971999999999998</v>
      </c>
      <c r="AM189" s="144">
        <v>196.172</v>
      </c>
      <c r="AP189" s="149">
        <v>16.7</v>
      </c>
    </row>
    <row r="190" spans="1:42" x14ac:dyDescent="0.25">
      <c r="A190" s="90" t="s">
        <v>32</v>
      </c>
      <c r="B190" s="90"/>
      <c r="C190" s="91">
        <v>12</v>
      </c>
      <c r="D190" s="91">
        <v>30.57</v>
      </c>
      <c r="E190" s="91">
        <v>113.43</v>
      </c>
      <c r="G190" s="90" t="s">
        <v>32</v>
      </c>
      <c r="H190" s="90"/>
      <c r="I190" s="91">
        <v>13</v>
      </c>
      <c r="J190" s="91">
        <v>45.86</v>
      </c>
      <c r="K190" s="91">
        <v>146.29</v>
      </c>
      <c r="M190" s="90" t="s">
        <v>32</v>
      </c>
      <c r="N190" s="90"/>
      <c r="O190" s="91">
        <v>14</v>
      </c>
      <c r="P190" s="91">
        <v>46</v>
      </c>
      <c r="Q190" s="91">
        <v>178.14</v>
      </c>
      <c r="S190" s="90" t="s">
        <v>32</v>
      </c>
      <c r="T190" s="90"/>
      <c r="U190" s="91">
        <v>15</v>
      </c>
      <c r="V190" s="91">
        <v>31.43</v>
      </c>
      <c r="W190" s="91">
        <v>195.29</v>
      </c>
      <c r="Y190" s="90" t="s">
        <v>32</v>
      </c>
      <c r="Z190" s="90"/>
      <c r="AA190" s="91">
        <v>17</v>
      </c>
      <c r="AB190" s="91">
        <v>19.71</v>
      </c>
      <c r="AC190" s="91">
        <v>200.71</v>
      </c>
      <c r="AE190" s="90" t="s">
        <v>32</v>
      </c>
      <c r="AF190" s="90">
        <f t="shared" si="51"/>
        <v>14.2</v>
      </c>
      <c r="AG190" s="90">
        <f t="shared" si="52"/>
        <v>34.713999999999999</v>
      </c>
      <c r="AH190" s="90">
        <f t="shared" si="53"/>
        <v>166.77199999999999</v>
      </c>
      <c r="AJ190" s="144" t="s">
        <v>9</v>
      </c>
      <c r="AK190" s="144">
        <v>18.2</v>
      </c>
      <c r="AL190" s="144">
        <v>17</v>
      </c>
      <c r="AM190" s="144">
        <v>141.97199999999998</v>
      </c>
      <c r="AP190" s="149">
        <v>13.4</v>
      </c>
    </row>
    <row r="191" spans="1:42" x14ac:dyDescent="0.25">
      <c r="A191" s="90" t="s">
        <v>31</v>
      </c>
      <c r="B191" s="90"/>
      <c r="C191" s="91">
        <v>11</v>
      </c>
      <c r="D191" s="91">
        <v>0</v>
      </c>
      <c r="E191" s="91">
        <v>69.290000000000006</v>
      </c>
      <c r="G191" s="90" t="s">
        <v>31</v>
      </c>
      <c r="H191" s="90"/>
      <c r="I191" s="91">
        <v>7</v>
      </c>
      <c r="J191" s="91">
        <v>0</v>
      </c>
      <c r="K191" s="91">
        <v>65</v>
      </c>
      <c r="M191" s="90" t="s">
        <v>31</v>
      </c>
      <c r="N191" s="90"/>
      <c r="O191" s="91">
        <v>6</v>
      </c>
      <c r="P191" s="91">
        <v>0</v>
      </c>
      <c r="Q191" s="91">
        <v>59</v>
      </c>
      <c r="S191" s="123" t="s">
        <v>31</v>
      </c>
      <c r="T191" s="90"/>
      <c r="U191" s="91">
        <v>6</v>
      </c>
      <c r="V191" s="91">
        <v>0</v>
      </c>
      <c r="W191" s="91">
        <v>53</v>
      </c>
      <c r="Y191" s="123" t="s">
        <v>31</v>
      </c>
      <c r="Z191" s="90"/>
      <c r="AA191" s="91">
        <v>5</v>
      </c>
      <c r="AB191" s="91">
        <v>0</v>
      </c>
      <c r="AC191" s="91">
        <v>47.29</v>
      </c>
      <c r="AE191" s="90" t="s">
        <v>31</v>
      </c>
      <c r="AF191" s="90">
        <f t="shared" si="51"/>
        <v>7</v>
      </c>
      <c r="AG191" s="90">
        <f t="shared" si="52"/>
        <v>0</v>
      </c>
      <c r="AH191" s="90">
        <f t="shared" si="53"/>
        <v>58.715999999999994</v>
      </c>
      <c r="AJ191" s="145" t="s">
        <v>866</v>
      </c>
      <c r="AK191" s="145">
        <f>AVERAGE(AK187:AK190)</f>
        <v>22.35</v>
      </c>
      <c r="AL191" s="145">
        <f>AVERAGE(AL187:AL190)</f>
        <v>22.3505</v>
      </c>
      <c r="AM191" s="145">
        <f>AVERAGE(AM187:AM190)</f>
        <v>178.95749999999998</v>
      </c>
      <c r="AP191">
        <v>14.2</v>
      </c>
    </row>
    <row r="192" spans="1:42" x14ac:dyDescent="0.25">
      <c r="A192" s="92" t="s">
        <v>481</v>
      </c>
      <c r="B192" s="92"/>
      <c r="C192" s="94">
        <v>12</v>
      </c>
      <c r="D192" s="94">
        <v>29</v>
      </c>
      <c r="E192" s="94">
        <v>143.43</v>
      </c>
      <c r="G192" s="92" t="s">
        <v>481</v>
      </c>
      <c r="H192" s="92"/>
      <c r="I192" s="94">
        <v>13</v>
      </c>
      <c r="J192" s="94">
        <v>7.29</v>
      </c>
      <c r="K192" s="94">
        <v>135.29</v>
      </c>
      <c r="M192" s="92" t="s">
        <v>481</v>
      </c>
      <c r="N192" s="92"/>
      <c r="O192" s="94">
        <v>15</v>
      </c>
      <c r="P192" s="94">
        <v>4</v>
      </c>
      <c r="Q192" s="94">
        <v>124.29</v>
      </c>
      <c r="S192" s="92" t="s">
        <v>481</v>
      </c>
      <c r="T192" s="92"/>
      <c r="U192" s="94">
        <v>16</v>
      </c>
      <c r="V192" s="94">
        <v>9.86</v>
      </c>
      <c r="W192" s="94">
        <v>118.71</v>
      </c>
      <c r="Y192" s="92" t="s">
        <v>481</v>
      </c>
      <c r="Z192" s="92"/>
      <c r="AA192" s="94">
        <v>15</v>
      </c>
      <c r="AB192" s="94">
        <v>8.43</v>
      </c>
      <c r="AC192" s="94">
        <v>111.43</v>
      </c>
      <c r="AE192" s="92" t="s">
        <v>690</v>
      </c>
      <c r="AF192" s="92">
        <f t="shared" si="51"/>
        <v>14.2</v>
      </c>
      <c r="AG192" s="92">
        <f t="shared" si="52"/>
        <v>11.715999999999999</v>
      </c>
      <c r="AH192" s="92">
        <f t="shared" si="53"/>
        <v>126.63000000000002</v>
      </c>
      <c r="AJ192" s="111" t="s">
        <v>32</v>
      </c>
      <c r="AK192" s="111">
        <v>14.2</v>
      </c>
      <c r="AL192" s="111">
        <v>34.713999999999999</v>
      </c>
      <c r="AM192" s="111">
        <v>166.77199999999999</v>
      </c>
    </row>
    <row r="193" spans="1:39" x14ac:dyDescent="0.25">
      <c r="A193" s="92" t="s">
        <v>11</v>
      </c>
      <c r="B193" s="92"/>
      <c r="C193" s="94">
        <v>28</v>
      </c>
      <c r="D193" s="94">
        <v>20.43</v>
      </c>
      <c r="E193" s="94">
        <v>189</v>
      </c>
      <c r="G193" s="92" t="s">
        <v>11</v>
      </c>
      <c r="H193" s="92"/>
      <c r="I193" s="94">
        <v>26</v>
      </c>
      <c r="J193" s="94">
        <v>14</v>
      </c>
      <c r="K193" s="94">
        <v>178.29</v>
      </c>
      <c r="M193" s="92" t="s">
        <v>11</v>
      </c>
      <c r="N193" s="92"/>
      <c r="O193" s="94">
        <v>24</v>
      </c>
      <c r="P193" s="94">
        <v>29.86</v>
      </c>
      <c r="Q193" s="94">
        <v>184.71</v>
      </c>
      <c r="S193" s="92" t="s">
        <v>11</v>
      </c>
      <c r="T193" s="92"/>
      <c r="U193" s="94">
        <v>22</v>
      </c>
      <c r="V193" s="94">
        <v>57.43</v>
      </c>
      <c r="W193" s="94">
        <v>221.43</v>
      </c>
      <c r="Y193" s="92" t="s">
        <v>11</v>
      </c>
      <c r="Z193" s="92"/>
      <c r="AA193" s="94">
        <v>24</v>
      </c>
      <c r="AB193" s="94">
        <v>8.14</v>
      </c>
      <c r="AC193" s="94">
        <v>207.43</v>
      </c>
      <c r="AE193" s="92" t="s">
        <v>11</v>
      </c>
      <c r="AF193" s="92">
        <f t="shared" si="51"/>
        <v>24.8</v>
      </c>
      <c r="AG193" s="92">
        <f t="shared" si="52"/>
        <v>25.971999999999998</v>
      </c>
      <c r="AH193" s="92">
        <f t="shared" si="53"/>
        <v>196.172</v>
      </c>
      <c r="AJ193" s="111" t="s">
        <v>36</v>
      </c>
      <c r="AK193" s="111">
        <v>14.2</v>
      </c>
      <c r="AL193" s="111">
        <v>11.715999999999999</v>
      </c>
      <c r="AM193" s="111">
        <v>126.63000000000002</v>
      </c>
    </row>
    <row r="194" spans="1:39" x14ac:dyDescent="0.25">
      <c r="A194" s="92" t="s">
        <v>36</v>
      </c>
      <c r="B194" s="92"/>
      <c r="C194" s="94">
        <v>13</v>
      </c>
      <c r="D194" s="94">
        <v>16.57</v>
      </c>
      <c r="E194" s="94">
        <v>104.57</v>
      </c>
      <c r="G194" s="92" t="s">
        <v>36</v>
      </c>
      <c r="H194" s="92"/>
      <c r="I194" s="94">
        <v>16</v>
      </c>
      <c r="J194" s="94">
        <v>64.430000000000007</v>
      </c>
      <c r="K194" s="94">
        <v>154</v>
      </c>
      <c r="M194" s="92" t="s">
        <v>36</v>
      </c>
      <c r="N194" s="92"/>
      <c r="O194" s="94">
        <v>17</v>
      </c>
      <c r="P194" s="94">
        <v>22.43</v>
      </c>
      <c r="Q194" s="94">
        <v>159.29</v>
      </c>
      <c r="S194" s="92" t="s">
        <v>36</v>
      </c>
      <c r="T194" s="92"/>
      <c r="U194" s="94">
        <v>19</v>
      </c>
      <c r="V194" s="94">
        <v>10</v>
      </c>
      <c r="W194" s="94">
        <v>153.13999999999999</v>
      </c>
      <c r="Y194" s="92" t="s">
        <v>36</v>
      </c>
      <c r="Z194" s="92"/>
      <c r="AA194" s="94">
        <v>20</v>
      </c>
      <c r="AB194" s="94">
        <v>28.29</v>
      </c>
      <c r="AC194" s="94">
        <v>162.29</v>
      </c>
      <c r="AE194" s="92" t="s">
        <v>36</v>
      </c>
      <c r="AF194" s="92">
        <f t="shared" si="51"/>
        <v>17</v>
      </c>
      <c r="AG194" s="92">
        <f t="shared" si="52"/>
        <v>28.344000000000001</v>
      </c>
      <c r="AH194" s="92">
        <f t="shared" si="53"/>
        <v>146.65799999999999</v>
      </c>
      <c r="AJ194" s="111" t="s">
        <v>37</v>
      </c>
      <c r="AK194" s="111">
        <v>15.8</v>
      </c>
      <c r="AL194" s="111">
        <v>23.113999999999997</v>
      </c>
      <c r="AM194" s="111">
        <v>170.17</v>
      </c>
    </row>
    <row r="195" spans="1:39" x14ac:dyDescent="0.25">
      <c r="A195" s="92" t="s">
        <v>48</v>
      </c>
      <c r="B195" s="92"/>
      <c r="C195" s="94">
        <v>13</v>
      </c>
      <c r="D195" s="94">
        <v>17.57</v>
      </c>
      <c r="E195" s="94">
        <v>102.43</v>
      </c>
      <c r="G195" s="92" t="s">
        <v>48</v>
      </c>
      <c r="H195" s="92"/>
      <c r="I195" s="94">
        <v>17</v>
      </c>
      <c r="J195" s="94">
        <v>16.86</v>
      </c>
      <c r="K195" s="94">
        <v>104.14</v>
      </c>
      <c r="M195" s="92" t="s">
        <v>48</v>
      </c>
      <c r="N195" s="92"/>
      <c r="O195" s="94">
        <v>17</v>
      </c>
      <c r="P195" s="94">
        <v>24</v>
      </c>
      <c r="Q195" s="94">
        <v>111.43</v>
      </c>
      <c r="S195" s="92" t="s">
        <v>48</v>
      </c>
      <c r="T195" s="92"/>
      <c r="U195" s="94">
        <v>18</v>
      </c>
      <c r="V195" s="94">
        <v>36</v>
      </c>
      <c r="W195" s="94">
        <v>131</v>
      </c>
      <c r="Y195" s="92" t="s">
        <v>48</v>
      </c>
      <c r="Z195" s="92"/>
      <c r="AA195" s="94">
        <v>13</v>
      </c>
      <c r="AB195" s="94">
        <v>16</v>
      </c>
      <c r="AC195" s="94">
        <v>134.86000000000001</v>
      </c>
      <c r="AE195" s="92" t="s">
        <v>48</v>
      </c>
      <c r="AF195" s="92">
        <f t="shared" si="51"/>
        <v>15.6</v>
      </c>
      <c r="AG195" s="92">
        <f t="shared" si="52"/>
        <v>22.086000000000002</v>
      </c>
      <c r="AH195" s="92">
        <f t="shared" si="53"/>
        <v>116.77200000000001</v>
      </c>
      <c r="AJ195" s="111" t="s">
        <v>12</v>
      </c>
      <c r="AK195" s="111">
        <v>17.600000000000001</v>
      </c>
      <c r="AL195" s="111">
        <v>25.655999999999995</v>
      </c>
      <c r="AM195" s="111">
        <v>141.45999999999998</v>
      </c>
    </row>
    <row r="196" spans="1:39" x14ac:dyDescent="0.25">
      <c r="A196" s="27" t="s">
        <v>37</v>
      </c>
      <c r="B196" s="27"/>
      <c r="C196" s="28">
        <v>13</v>
      </c>
      <c r="D196" s="28">
        <v>16.71</v>
      </c>
      <c r="E196" s="28">
        <v>145.71</v>
      </c>
      <c r="G196" s="27" t="s">
        <v>37</v>
      </c>
      <c r="H196" s="27"/>
      <c r="I196" s="28">
        <v>15</v>
      </c>
      <c r="J196" s="28">
        <v>26.86</v>
      </c>
      <c r="K196" s="28">
        <v>157.57</v>
      </c>
      <c r="M196" s="27" t="s">
        <v>37</v>
      </c>
      <c r="N196" s="27"/>
      <c r="O196" s="28">
        <v>18</v>
      </c>
      <c r="P196" s="28">
        <v>43.86</v>
      </c>
      <c r="Q196" s="28">
        <v>182.57</v>
      </c>
      <c r="S196" s="27" t="s">
        <v>37</v>
      </c>
      <c r="T196" s="27"/>
      <c r="U196" s="28">
        <v>17</v>
      </c>
      <c r="V196" s="28">
        <v>22.43</v>
      </c>
      <c r="W196" s="28">
        <v>187.71</v>
      </c>
      <c r="Y196" s="27" t="s">
        <v>37</v>
      </c>
      <c r="Z196" s="27"/>
      <c r="AA196" s="28">
        <v>16</v>
      </c>
      <c r="AB196" s="28">
        <v>5.71</v>
      </c>
      <c r="AC196" s="28">
        <v>177.29</v>
      </c>
      <c r="AE196" s="27" t="s">
        <v>37</v>
      </c>
      <c r="AF196" s="27">
        <f t="shared" si="51"/>
        <v>15.8</v>
      </c>
      <c r="AG196" s="27">
        <f t="shared" si="52"/>
        <v>23.113999999999997</v>
      </c>
      <c r="AH196" s="27">
        <f t="shared" si="53"/>
        <v>170.17</v>
      </c>
      <c r="AJ196" s="111" t="s">
        <v>10</v>
      </c>
      <c r="AK196" s="111">
        <v>17.8</v>
      </c>
      <c r="AL196" s="111">
        <v>13.628</v>
      </c>
      <c r="AM196" s="111">
        <v>166.94400000000002</v>
      </c>
    </row>
    <row r="197" spans="1:39" x14ac:dyDescent="0.25">
      <c r="A197" s="27" t="s">
        <v>9</v>
      </c>
      <c r="B197" s="27"/>
      <c r="C197" s="28">
        <v>17</v>
      </c>
      <c r="D197" s="28">
        <v>21</v>
      </c>
      <c r="E197" s="28">
        <v>151.57</v>
      </c>
      <c r="G197" s="27" t="s">
        <v>9</v>
      </c>
      <c r="H197" s="27"/>
      <c r="I197" s="28">
        <v>20</v>
      </c>
      <c r="J197" s="28">
        <v>5.71</v>
      </c>
      <c r="K197" s="28">
        <v>141.57</v>
      </c>
      <c r="M197" s="27" t="s">
        <v>9</v>
      </c>
      <c r="N197" s="27"/>
      <c r="O197" s="28">
        <v>17</v>
      </c>
      <c r="P197" s="28">
        <v>12.86</v>
      </c>
      <c r="Q197" s="28">
        <v>136.86000000000001</v>
      </c>
      <c r="S197" s="27" t="s">
        <v>9</v>
      </c>
      <c r="T197" s="27"/>
      <c r="U197" s="28">
        <v>19</v>
      </c>
      <c r="V197" s="28">
        <v>13.14</v>
      </c>
      <c r="W197" s="28">
        <v>132.57</v>
      </c>
      <c r="Y197" s="27" t="s">
        <v>9</v>
      </c>
      <c r="Z197" s="27"/>
      <c r="AA197" s="28">
        <v>18</v>
      </c>
      <c r="AB197" s="28">
        <v>32.29</v>
      </c>
      <c r="AC197" s="28">
        <v>147.29</v>
      </c>
      <c r="AE197" s="27" t="s">
        <v>9</v>
      </c>
      <c r="AF197" s="27">
        <f t="shared" si="51"/>
        <v>18.2</v>
      </c>
      <c r="AG197" s="27">
        <f t="shared" si="52"/>
        <v>17</v>
      </c>
      <c r="AH197" s="27">
        <f t="shared" si="53"/>
        <v>141.97199999999998</v>
      </c>
      <c r="AJ197" s="148" t="s">
        <v>867</v>
      </c>
      <c r="AK197" s="148">
        <f>AVERAGE(AK192:AK196)</f>
        <v>15.920000000000002</v>
      </c>
      <c r="AL197" s="148">
        <f t="shared" ref="AL197:AM197" si="54">AVERAGE(AL192:AL196)</f>
        <v>21.765599999999999</v>
      </c>
      <c r="AM197" s="148">
        <f t="shared" si="54"/>
        <v>154.39519999999999</v>
      </c>
    </row>
    <row r="198" spans="1:39" x14ac:dyDescent="0.25">
      <c r="A198" s="27" t="s">
        <v>12</v>
      </c>
      <c r="B198" s="27"/>
      <c r="C198" s="28">
        <v>18</v>
      </c>
      <c r="D198" s="28">
        <v>15.86</v>
      </c>
      <c r="E198" s="28">
        <v>122.29</v>
      </c>
      <c r="G198" s="27" t="s">
        <v>12</v>
      </c>
      <c r="H198" s="27"/>
      <c r="I198" s="28">
        <v>16</v>
      </c>
      <c r="J198" s="28">
        <v>12.57</v>
      </c>
      <c r="K198" s="28">
        <v>117.86</v>
      </c>
      <c r="M198" s="27" t="s">
        <v>12</v>
      </c>
      <c r="N198" s="27"/>
      <c r="O198" s="28">
        <v>19</v>
      </c>
      <c r="P198" s="28">
        <v>38.71</v>
      </c>
      <c r="Q198" s="28">
        <v>137.86000000000001</v>
      </c>
      <c r="S198" s="27" t="s">
        <v>12</v>
      </c>
      <c r="T198" s="27"/>
      <c r="U198" s="28">
        <v>15</v>
      </c>
      <c r="V198" s="28">
        <v>41</v>
      </c>
      <c r="W198" s="28">
        <v>163.43</v>
      </c>
      <c r="Y198" s="27" t="s">
        <v>12</v>
      </c>
      <c r="Z198" s="27"/>
      <c r="AA198" s="28">
        <v>20</v>
      </c>
      <c r="AB198" s="28">
        <v>20.14</v>
      </c>
      <c r="AC198" s="28">
        <v>165.86</v>
      </c>
      <c r="AE198" s="27" t="s">
        <v>12</v>
      </c>
      <c r="AF198" s="27">
        <f t="shared" si="51"/>
        <v>17.600000000000001</v>
      </c>
      <c r="AG198" s="27">
        <f t="shared" si="52"/>
        <v>25.655999999999995</v>
      </c>
      <c r="AH198" s="27">
        <f t="shared" si="53"/>
        <v>141.45999999999998</v>
      </c>
      <c r="AJ198" s="92" t="s">
        <v>48</v>
      </c>
      <c r="AK198" s="92">
        <v>14.2</v>
      </c>
      <c r="AL198" s="92">
        <v>11.715999999999999</v>
      </c>
      <c r="AM198" s="92">
        <v>126.63000000000002</v>
      </c>
    </row>
    <row r="199" spans="1:39" x14ac:dyDescent="0.25">
      <c r="A199" s="27" t="s">
        <v>10</v>
      </c>
      <c r="B199" s="27"/>
      <c r="C199" s="28">
        <v>16</v>
      </c>
      <c r="D199" s="28">
        <v>19.57</v>
      </c>
      <c r="E199" s="28">
        <v>175.86</v>
      </c>
      <c r="G199" s="27" t="s">
        <v>10</v>
      </c>
      <c r="H199" s="27"/>
      <c r="I199" s="28">
        <v>19</v>
      </c>
      <c r="J199" s="28">
        <v>4</v>
      </c>
      <c r="K199" s="28">
        <v>161.43</v>
      </c>
      <c r="M199" s="27" t="s">
        <v>10</v>
      </c>
      <c r="N199" s="27"/>
      <c r="O199" s="28">
        <v>17</v>
      </c>
      <c r="P199" s="28">
        <v>27.86</v>
      </c>
      <c r="Q199" s="28">
        <v>172.14</v>
      </c>
      <c r="S199" s="27" t="s">
        <v>10</v>
      </c>
      <c r="T199" s="27"/>
      <c r="U199" s="28">
        <v>18</v>
      </c>
      <c r="V199" s="28">
        <v>20.57</v>
      </c>
      <c r="W199" s="28">
        <v>174.43</v>
      </c>
      <c r="Y199" s="27" t="s">
        <v>10</v>
      </c>
      <c r="Z199" s="27"/>
      <c r="AA199" s="28">
        <v>19</v>
      </c>
      <c r="AB199" s="28">
        <v>-3.86</v>
      </c>
      <c r="AC199" s="28">
        <v>150.86000000000001</v>
      </c>
      <c r="AE199" s="27" t="s">
        <v>10</v>
      </c>
      <c r="AF199" s="27">
        <f t="shared" si="51"/>
        <v>17.8</v>
      </c>
      <c r="AG199" s="27">
        <f t="shared" si="52"/>
        <v>13.628</v>
      </c>
      <c r="AH199" s="27">
        <f t="shared" si="53"/>
        <v>166.94400000000002</v>
      </c>
      <c r="AJ199" s="92" t="s">
        <v>690</v>
      </c>
      <c r="AK199" s="92">
        <f>AVERAGE(AF192,Z192,T192,N192,H192)</f>
        <v>14.2</v>
      </c>
      <c r="AL199" s="92">
        <f>AVERAGE(AG192,AA192,U192,O192,I192)</f>
        <v>14.143200000000002</v>
      </c>
      <c r="AM199" s="92">
        <f>AVERAGE(AH192,AB192,V192,P192,J192)</f>
        <v>31.242000000000001</v>
      </c>
    </row>
    <row r="200" spans="1:39" x14ac:dyDescent="0.25">
      <c r="A200" s="27" t="s">
        <v>672</v>
      </c>
      <c r="B200" s="27"/>
      <c r="C200" s="28">
        <v>18</v>
      </c>
      <c r="D200" s="28">
        <v>30.86</v>
      </c>
      <c r="E200" s="28">
        <v>118</v>
      </c>
      <c r="G200" s="27" t="s">
        <v>672</v>
      </c>
      <c r="H200" s="27"/>
      <c r="I200" s="28">
        <v>14</v>
      </c>
      <c r="J200" s="28">
        <v>20.71</v>
      </c>
      <c r="K200" s="28">
        <v>126.29</v>
      </c>
      <c r="M200" s="27" t="s">
        <v>672</v>
      </c>
      <c r="N200" s="27"/>
      <c r="O200" s="28">
        <v>12</v>
      </c>
      <c r="P200" s="28">
        <v>41.14</v>
      </c>
      <c r="Q200" s="28">
        <v>155.43</v>
      </c>
      <c r="S200" s="27" t="s">
        <v>672</v>
      </c>
      <c r="T200" s="27"/>
      <c r="U200" s="28">
        <v>13</v>
      </c>
      <c r="V200" s="28">
        <v>22</v>
      </c>
      <c r="W200" s="28">
        <v>164.57</v>
      </c>
      <c r="Y200" s="27" t="s">
        <v>672</v>
      </c>
      <c r="Z200" s="27"/>
      <c r="AA200" s="28">
        <v>13</v>
      </c>
      <c r="AB200" s="28">
        <v>26</v>
      </c>
      <c r="AC200" s="28">
        <v>177.71</v>
      </c>
      <c r="AE200" s="27" t="s">
        <v>672</v>
      </c>
      <c r="AF200" s="27">
        <f t="shared" si="51"/>
        <v>14</v>
      </c>
      <c r="AG200" s="27">
        <f t="shared" si="52"/>
        <v>28.141999999999996</v>
      </c>
      <c r="AH200" s="27">
        <f t="shared" si="53"/>
        <v>148.4</v>
      </c>
      <c r="AJ200" s="92" t="s">
        <v>672</v>
      </c>
      <c r="AK200" s="92">
        <v>14</v>
      </c>
      <c r="AL200" s="92">
        <v>28.141999999999996</v>
      </c>
      <c r="AM200" s="92">
        <v>148.4</v>
      </c>
    </row>
    <row r="201" spans="1:39" x14ac:dyDescent="0.25">
      <c r="A201" s="2" t="s">
        <v>649</v>
      </c>
      <c r="B201" s="2"/>
      <c r="C201" s="28">
        <v>6</v>
      </c>
      <c r="D201" s="28"/>
      <c r="E201" s="28"/>
      <c r="G201" s="2" t="s">
        <v>649</v>
      </c>
      <c r="H201" s="2"/>
      <c r="I201" s="28">
        <v>6</v>
      </c>
      <c r="J201" s="28"/>
      <c r="K201" s="28"/>
      <c r="M201" s="2" t="s">
        <v>649</v>
      </c>
      <c r="N201" s="2"/>
      <c r="O201" s="28">
        <v>5</v>
      </c>
      <c r="P201" s="28">
        <v>1.86</v>
      </c>
      <c r="Q201" s="28"/>
      <c r="S201" s="2" t="s">
        <v>649</v>
      </c>
      <c r="T201" s="2"/>
      <c r="U201" s="28">
        <v>5</v>
      </c>
      <c r="V201" s="28">
        <v>0</v>
      </c>
      <c r="W201" s="28">
        <v>21</v>
      </c>
      <c r="Y201" s="2" t="s">
        <v>649</v>
      </c>
      <c r="Z201" s="2"/>
      <c r="AA201" s="28">
        <v>4</v>
      </c>
      <c r="AB201" s="28"/>
      <c r="AC201" s="28"/>
      <c r="AE201" s="2" t="s">
        <v>649</v>
      </c>
      <c r="AF201" s="14"/>
      <c r="AG201" s="130"/>
      <c r="AH201" s="130"/>
      <c r="AJ201" s="147" t="s">
        <v>868</v>
      </c>
      <c r="AK201" s="147">
        <f>AVERAGE(AK198:AK200)</f>
        <v>14.133333333333333</v>
      </c>
      <c r="AL201" s="147">
        <f t="shared" ref="AL201:AM201" si="55">AVERAGE(AL198:AL200)</f>
        <v>18.000399999999999</v>
      </c>
      <c r="AM201" s="147">
        <f t="shared" si="55"/>
        <v>102.09066666666668</v>
      </c>
    </row>
    <row r="202" spans="1:39" x14ac:dyDescent="0.25">
      <c r="A202" s="72" t="s">
        <v>39</v>
      </c>
      <c r="B202" s="72"/>
      <c r="C202" s="8">
        <f>SUM(C185:C201)</f>
        <v>241</v>
      </c>
      <c r="D202" s="8">
        <f>SUM(D185:D201)</f>
        <v>337.86</v>
      </c>
      <c r="E202" s="8">
        <f>SUM(E185:E201)</f>
        <v>1983.15</v>
      </c>
      <c r="G202" s="72" t="s">
        <v>39</v>
      </c>
      <c r="H202" s="72"/>
      <c r="I202" s="8">
        <f>SUM(I185:I201)</f>
        <v>248</v>
      </c>
      <c r="J202" s="8">
        <f>SUM(J185:J201)</f>
        <v>290.86</v>
      </c>
      <c r="K202" s="8">
        <f>SUM(K185:K201)</f>
        <v>2041.7299999999998</v>
      </c>
      <c r="M202" s="72" t="s">
        <v>39</v>
      </c>
      <c r="N202" s="72"/>
      <c r="O202" s="8">
        <f>SUM(O185:O201)</f>
        <v>242</v>
      </c>
      <c r="P202" s="8">
        <f>SUM(P185:P201)</f>
        <v>335.58</v>
      </c>
      <c r="Q202" s="8">
        <f>SUM(Q185:Q201)</f>
        <v>2138.7099999999996</v>
      </c>
      <c r="S202" s="72" t="s">
        <v>39</v>
      </c>
      <c r="T202" s="72"/>
      <c r="U202" s="8">
        <f>SUM(U185:U201)</f>
        <v>249</v>
      </c>
      <c r="V202" s="8">
        <f>SUM(V185:V201)</f>
        <v>273.29000000000002</v>
      </c>
      <c r="W202" s="8">
        <f>SUM(W185:W201)</f>
        <v>2199.71</v>
      </c>
      <c r="Y202" s="72" t="s">
        <v>39</v>
      </c>
      <c r="Z202" s="72"/>
      <c r="AA202" s="8">
        <f>SUM(AA187:AA201)</f>
        <v>249</v>
      </c>
      <c r="AB202" s="8">
        <f>SUM(AB187:AB201)</f>
        <v>213.70999999999998</v>
      </c>
      <c r="AC202" s="8">
        <f>SUM(AC187:AC201)</f>
        <v>2156.6000000000004</v>
      </c>
      <c r="AE202" s="127" t="s">
        <v>692</v>
      </c>
      <c r="AF202" s="203">
        <f>AVERAGE(AF187:AF201)</f>
        <v>17.185714285714287</v>
      </c>
      <c r="AG202" s="203">
        <f>AVERAGE(AG187:AG201)</f>
        <v>20.706285714285716</v>
      </c>
      <c r="AH202" s="203">
        <f>AVERAGE(AH187:AH201)</f>
        <v>149.9842857142857</v>
      </c>
      <c r="AJ202" s="90" t="s">
        <v>31</v>
      </c>
      <c r="AK202" s="90">
        <v>7</v>
      </c>
      <c r="AL202" s="90">
        <v>0</v>
      </c>
      <c r="AM202" s="90">
        <v>58.715999999999994</v>
      </c>
    </row>
    <row r="203" spans="1:39" x14ac:dyDescent="0.25">
      <c r="A203" s="72"/>
      <c r="B203" s="72"/>
      <c r="C203" s="7"/>
      <c r="D203" s="7"/>
      <c r="E203" s="7"/>
      <c r="G203" s="72"/>
      <c r="H203" s="72"/>
      <c r="I203" s="7"/>
      <c r="J203" s="7"/>
      <c r="K203" s="7"/>
      <c r="M203" s="72"/>
      <c r="N203" s="72"/>
      <c r="O203" s="7"/>
      <c r="P203" s="7"/>
      <c r="Q203" s="7"/>
      <c r="S203" s="72"/>
      <c r="T203" s="72"/>
      <c r="U203" s="7"/>
      <c r="V203" s="7"/>
      <c r="W203" s="7"/>
      <c r="Y203" s="72"/>
      <c r="Z203" s="72"/>
      <c r="AA203" s="7"/>
      <c r="AB203" s="7"/>
      <c r="AC203" s="7"/>
      <c r="AJ203" s="90" t="s">
        <v>30</v>
      </c>
      <c r="AK203" s="90">
        <v>18</v>
      </c>
      <c r="AL203" s="90">
        <v>13.086000000000002</v>
      </c>
      <c r="AM203" s="90">
        <v>141.42800000000003</v>
      </c>
    </row>
    <row r="204" spans="1:39" x14ac:dyDescent="0.25">
      <c r="A204" s="72"/>
      <c r="B204" s="6" t="s">
        <v>477</v>
      </c>
      <c r="C204" s="93">
        <f>SUM(C187:C191)</f>
        <v>87</v>
      </c>
      <c r="D204" s="93">
        <f t="shared" ref="D204:E204" si="56">SUM(D187:D191)</f>
        <v>150.29</v>
      </c>
      <c r="E204" s="93">
        <f t="shared" si="56"/>
        <v>730.29</v>
      </c>
      <c r="G204" s="72"/>
      <c r="H204" s="6">
        <v>1</v>
      </c>
      <c r="I204" s="93">
        <f>SUM(I187:I191)</f>
        <v>86</v>
      </c>
      <c r="J204" s="93">
        <f t="shared" ref="J204:K204" si="57">SUM(J187:J191)</f>
        <v>118.42999999999999</v>
      </c>
      <c r="K204" s="93">
        <f t="shared" si="57"/>
        <v>765.29</v>
      </c>
      <c r="M204" s="72"/>
      <c r="N204" s="6">
        <v>1</v>
      </c>
      <c r="O204" s="95">
        <f>SUM(O187:O191)</f>
        <v>81</v>
      </c>
      <c r="P204" s="95">
        <f t="shared" ref="P204:Q204" si="58">SUM(P187:P191)</f>
        <v>89</v>
      </c>
      <c r="Q204" s="95">
        <f t="shared" si="58"/>
        <v>774.13</v>
      </c>
      <c r="S204" s="72"/>
      <c r="T204" s="6">
        <v>1</v>
      </c>
      <c r="U204" s="93">
        <f>SUM(U187:U191)</f>
        <v>87</v>
      </c>
      <c r="V204" s="95">
        <f>SUM(V187:V191)</f>
        <v>40.86</v>
      </c>
      <c r="W204" s="95">
        <f t="shared" ref="W204" si="59">SUM(W187:W191)</f>
        <v>731.72</v>
      </c>
      <c r="Y204" s="72"/>
      <c r="Z204" s="6">
        <v>1</v>
      </c>
      <c r="AA204" s="93">
        <f>SUM(AA187:AA191)</f>
        <v>87</v>
      </c>
      <c r="AB204" s="95">
        <f>SUM(AB187:AB191)</f>
        <v>72.569999999999993</v>
      </c>
      <c r="AC204" s="95">
        <f>SUM(AC187:AC191)</f>
        <v>721.57999999999993</v>
      </c>
    </row>
    <row r="205" spans="1:39" ht="30" x14ac:dyDescent="0.25">
      <c r="A205" s="68" t="s">
        <v>50</v>
      </c>
      <c r="B205" s="87" t="s">
        <v>478</v>
      </c>
      <c r="C205" s="95">
        <f>SUM(C192:C195)</f>
        <v>66</v>
      </c>
      <c r="D205" s="95">
        <f t="shared" ref="D205:E205" si="60">SUM(D192:D195)</f>
        <v>83.57</v>
      </c>
      <c r="E205" s="95">
        <f t="shared" si="60"/>
        <v>539.43000000000006</v>
      </c>
      <c r="G205" s="68" t="s">
        <v>50</v>
      </c>
      <c r="H205" s="87">
        <v>2</v>
      </c>
      <c r="I205" s="95">
        <f>SUM(I192:I195)</f>
        <v>72</v>
      </c>
      <c r="J205" s="95">
        <f t="shared" ref="J205:K205" si="61">SUM(J192:J195)</f>
        <v>102.58</v>
      </c>
      <c r="K205" s="95">
        <f t="shared" si="61"/>
        <v>571.72</v>
      </c>
      <c r="M205" s="68" t="s">
        <v>50</v>
      </c>
      <c r="N205" s="87">
        <v>2</v>
      </c>
      <c r="O205" s="95">
        <f>SUM(O192:O195)</f>
        <v>73</v>
      </c>
      <c r="P205" s="95">
        <f t="shared" ref="P205:Q205" si="62">SUM(P192:P195)</f>
        <v>80.289999999999992</v>
      </c>
      <c r="Q205" s="95">
        <f t="shared" si="62"/>
        <v>579.72</v>
      </c>
      <c r="S205" s="68" t="s">
        <v>50</v>
      </c>
      <c r="T205" s="87">
        <v>2</v>
      </c>
      <c r="U205" s="95">
        <f>SUM(U192:U195)</f>
        <v>75</v>
      </c>
      <c r="V205" s="95">
        <f t="shared" ref="V205:W205" si="63">SUM(V192:V195)</f>
        <v>113.28999999999999</v>
      </c>
      <c r="W205" s="95">
        <f t="shared" si="63"/>
        <v>624.28</v>
      </c>
      <c r="Y205" s="68" t="s">
        <v>50</v>
      </c>
      <c r="Z205" s="87">
        <v>2</v>
      </c>
      <c r="AA205" s="95">
        <f>SUM(AA192:AA195)</f>
        <v>72</v>
      </c>
      <c r="AB205" s="131">
        <f>SUM(AB192:AB195)</f>
        <v>60.86</v>
      </c>
      <c r="AC205" s="131">
        <f t="shared" ref="AC205" si="64">SUM(AC192:AC195)</f>
        <v>616.01</v>
      </c>
    </row>
    <row r="206" spans="1:39" x14ac:dyDescent="0.25">
      <c r="A206" s="72"/>
      <c r="B206" s="6" t="s">
        <v>479</v>
      </c>
      <c r="C206" s="95">
        <f>SUM(C196:C200)</f>
        <v>82</v>
      </c>
      <c r="D206" s="95">
        <f t="shared" ref="D206:E206" si="65">SUM(D196:D200)</f>
        <v>104</v>
      </c>
      <c r="E206" s="95">
        <f t="shared" si="65"/>
        <v>713.43000000000006</v>
      </c>
      <c r="G206" s="72"/>
      <c r="H206" s="6">
        <v>3</v>
      </c>
      <c r="I206" s="95">
        <f>SUM(I196:I200)</f>
        <v>84</v>
      </c>
      <c r="J206" s="95">
        <f t="shared" ref="J206:K206" si="66">SUM(J196:J200)</f>
        <v>69.849999999999994</v>
      </c>
      <c r="K206" s="95">
        <f t="shared" si="66"/>
        <v>704.72</v>
      </c>
      <c r="M206" s="72"/>
      <c r="N206" s="6">
        <v>3</v>
      </c>
      <c r="O206" s="93">
        <f>SUM(O196:O200)</f>
        <v>83</v>
      </c>
      <c r="P206" s="93">
        <f t="shared" ref="P206:Q206" si="67">SUM(P196:P200)</f>
        <v>164.43</v>
      </c>
      <c r="Q206" s="93">
        <f t="shared" si="67"/>
        <v>784.86000000000013</v>
      </c>
      <c r="S206" s="72"/>
      <c r="T206" s="6">
        <v>3</v>
      </c>
      <c r="U206" s="95">
        <f>SUM(U196:U200)</f>
        <v>82</v>
      </c>
      <c r="V206" s="93">
        <f t="shared" ref="V206:W206" si="68">SUM(V196:V200)</f>
        <v>119.13999999999999</v>
      </c>
      <c r="W206" s="93">
        <f t="shared" si="68"/>
        <v>822.71</v>
      </c>
      <c r="Y206" s="72"/>
      <c r="Z206" s="6">
        <v>3</v>
      </c>
      <c r="AA206" s="131">
        <f>SUM(AA196:AA200)</f>
        <v>86</v>
      </c>
      <c r="AB206" s="93">
        <f>SUM(AB196:AB200)</f>
        <v>80.28</v>
      </c>
      <c r="AC206" s="93">
        <f t="shared" ref="AC206" si="69">SUM(AC196:AC200)</f>
        <v>819.01</v>
      </c>
    </row>
    <row r="207" spans="1:39" ht="30" x14ac:dyDescent="0.25">
      <c r="A207" s="68" t="s">
        <v>50</v>
      </c>
      <c r="B207" s="6"/>
      <c r="C207" s="66"/>
      <c r="D207" s="66">
        <v>46</v>
      </c>
      <c r="E207" s="66">
        <f>SUM(D202/D207)</f>
        <v>7.3447826086956525</v>
      </c>
      <c r="G207" s="68" t="s">
        <v>50</v>
      </c>
      <c r="H207" s="6"/>
      <c r="I207" s="66"/>
      <c r="J207" s="66">
        <v>70</v>
      </c>
      <c r="K207" s="66">
        <f>SUM(J202/J207)</f>
        <v>4.1551428571428577</v>
      </c>
      <c r="L207" s="66"/>
      <c r="M207" s="68" t="s">
        <v>50</v>
      </c>
      <c r="N207" s="6"/>
      <c r="O207" s="66"/>
      <c r="P207" s="66">
        <v>52</v>
      </c>
      <c r="Q207" s="66">
        <f>SUM(P202/P207)</f>
        <v>6.4534615384615384</v>
      </c>
      <c r="R207" s="66"/>
      <c r="S207" s="68" t="s">
        <v>50</v>
      </c>
      <c r="T207" s="66"/>
      <c r="U207" s="66"/>
      <c r="V207" s="66">
        <v>44</v>
      </c>
      <c r="W207" s="66">
        <f>SUM(V202/V207)</f>
        <v>6.2111363636363643</v>
      </c>
      <c r="Y207" s="68" t="s">
        <v>50</v>
      </c>
      <c r="Z207" s="66"/>
      <c r="AA207" s="66"/>
      <c r="AB207" s="66">
        <v>60</v>
      </c>
      <c r="AC207" s="66">
        <f>SUM(AB202/AB207)</f>
        <v>3.561833333333333</v>
      </c>
    </row>
    <row r="208" spans="1:39" x14ac:dyDescent="0.25">
      <c r="A208" s="72" t="s">
        <v>41</v>
      </c>
      <c r="B208" s="6"/>
      <c r="C208" s="8"/>
      <c r="D208" s="8"/>
      <c r="E208" s="8"/>
      <c r="G208" s="72" t="s">
        <v>41</v>
      </c>
      <c r="H208" s="6"/>
      <c r="I208" s="8"/>
      <c r="J208" s="8"/>
      <c r="K208" s="8"/>
      <c r="L208" s="8"/>
      <c r="M208" s="72" t="s">
        <v>41</v>
      </c>
      <c r="N208" s="6"/>
      <c r="O208" s="8"/>
      <c r="P208" s="8"/>
      <c r="Q208" s="8"/>
      <c r="R208" s="8"/>
      <c r="S208" s="72" t="s">
        <v>41</v>
      </c>
      <c r="T208" s="6"/>
      <c r="U208" s="8"/>
      <c r="V208" s="8"/>
      <c r="W208" s="8"/>
      <c r="Y208" s="72" t="s">
        <v>41</v>
      </c>
      <c r="Z208" s="6"/>
      <c r="AA208" s="8"/>
      <c r="AB208" s="8"/>
      <c r="AC208" s="8"/>
    </row>
    <row r="209" spans="1:40" x14ac:dyDescent="0.25">
      <c r="C209" s="12" t="e">
        <f>#REF!-#REF!</f>
        <v>#REF!</v>
      </c>
      <c r="D209" s="12" t="e">
        <f>#REF!-#REF!</f>
        <v>#REF!</v>
      </c>
      <c r="E209" s="12" t="e">
        <f>#REF!-#REF!</f>
        <v>#REF!</v>
      </c>
      <c r="I209" s="12" t="e">
        <f>#REF!-#REF!</f>
        <v>#REF!</v>
      </c>
      <c r="J209" s="12" t="e">
        <f>#REF!-#REF!</f>
        <v>#REF!</v>
      </c>
      <c r="K209" s="12" t="e">
        <f>#REF!-#REF!</f>
        <v>#REF!</v>
      </c>
      <c r="L209" s="12"/>
      <c r="O209" s="12" t="e">
        <f>#REF!-#REF!</f>
        <v>#REF!</v>
      </c>
      <c r="P209" s="12" t="e">
        <f>#REF!-#REF!</f>
        <v>#REF!</v>
      </c>
      <c r="Q209" s="12" t="e">
        <f>#REF!-#REF!</f>
        <v>#REF!</v>
      </c>
      <c r="R209" s="12"/>
      <c r="U209" s="12" t="e">
        <f>#REF!-#REF!</f>
        <v>#REF!</v>
      </c>
      <c r="V209" s="12" t="e">
        <f>#REF!-#REF!</f>
        <v>#REF!</v>
      </c>
      <c r="W209" s="12" t="e">
        <f>#REF!-#REF!</f>
        <v>#REF!</v>
      </c>
      <c r="AA209" s="12" t="e">
        <f>#REF!-#REF!</f>
        <v>#REF!</v>
      </c>
      <c r="AB209" s="12" t="e">
        <f>#REF!-#REF!</f>
        <v>#REF!</v>
      </c>
      <c r="AC209" s="12" t="e">
        <f>#REF!-#REF!</f>
        <v>#REF!</v>
      </c>
    </row>
    <row r="211" spans="1:40" ht="18.75" x14ac:dyDescent="0.3">
      <c r="A211" s="69" t="s">
        <v>681</v>
      </c>
      <c r="B211" s="4"/>
      <c r="C211" s="10"/>
      <c r="D211" s="10"/>
      <c r="E211" s="10"/>
      <c r="G211" s="69" t="s">
        <v>682</v>
      </c>
      <c r="H211" s="10"/>
      <c r="I211" s="10"/>
      <c r="J211" s="10"/>
      <c r="M211" s="69" t="s">
        <v>683</v>
      </c>
      <c r="S211" s="69" t="s">
        <v>684</v>
      </c>
      <c r="AE211" t="s">
        <v>664</v>
      </c>
    </row>
    <row r="212" spans="1:40" ht="45" x14ac:dyDescent="0.25">
      <c r="A212" s="70"/>
      <c r="B212" s="70"/>
      <c r="C212" s="71" t="s">
        <v>26</v>
      </c>
      <c r="D212" s="71" t="s">
        <v>27</v>
      </c>
      <c r="E212" s="71" t="s">
        <v>28</v>
      </c>
      <c r="G212" s="70"/>
      <c r="H212" s="70"/>
      <c r="I212" s="71" t="s">
        <v>26</v>
      </c>
      <c r="J212" s="71" t="s">
        <v>27</v>
      </c>
      <c r="K212" s="71" t="s">
        <v>28</v>
      </c>
      <c r="M212" s="70"/>
      <c r="N212" s="70"/>
      <c r="O212" s="71" t="s">
        <v>26</v>
      </c>
      <c r="P212" s="71" t="s">
        <v>27</v>
      </c>
      <c r="Q212" s="71" t="s">
        <v>28</v>
      </c>
      <c r="S212" s="70"/>
      <c r="T212" s="70"/>
      <c r="U212" s="71" t="s">
        <v>26</v>
      </c>
      <c r="V212" s="71" t="s">
        <v>27</v>
      </c>
      <c r="W212" s="71" t="s">
        <v>28</v>
      </c>
      <c r="Y212" s="124" t="s">
        <v>685</v>
      </c>
      <c r="AA212" s="71" t="s">
        <v>26</v>
      </c>
      <c r="AB212" s="71" t="s">
        <v>27</v>
      </c>
      <c r="AC212" s="71" t="s">
        <v>28</v>
      </c>
      <c r="AE212" s="71" t="s">
        <v>685</v>
      </c>
      <c r="AF212" s="71" t="s">
        <v>26</v>
      </c>
      <c r="AG212" s="71" t="s">
        <v>27</v>
      </c>
      <c r="AH212" s="71" t="s">
        <v>28</v>
      </c>
      <c r="AJ212" s="124" t="s">
        <v>685</v>
      </c>
      <c r="AL212" s="71" t="s">
        <v>26</v>
      </c>
      <c r="AM212" s="71" t="s">
        <v>27</v>
      </c>
      <c r="AN212" s="71" t="s">
        <v>28</v>
      </c>
    </row>
    <row r="213" spans="1:40" x14ac:dyDescent="0.25">
      <c r="A213" s="90" t="s">
        <v>29</v>
      </c>
      <c r="B213" s="90"/>
      <c r="C213" s="91">
        <v>28</v>
      </c>
      <c r="D213" s="91">
        <v>20.29</v>
      </c>
      <c r="E213" s="91">
        <v>209.57</v>
      </c>
      <c r="G213" s="90" t="s">
        <v>29</v>
      </c>
      <c r="H213" s="90"/>
      <c r="I213" s="91">
        <v>27</v>
      </c>
      <c r="J213" s="91">
        <v>2.71</v>
      </c>
      <c r="K213" s="91">
        <v>190.57</v>
      </c>
      <c r="M213" s="90" t="s">
        <v>29</v>
      </c>
      <c r="N213" s="90"/>
      <c r="O213" s="91">
        <v>26</v>
      </c>
      <c r="P213" s="91">
        <v>23.14</v>
      </c>
      <c r="Q213" s="91">
        <v>188.29</v>
      </c>
      <c r="S213" s="90" t="s">
        <v>29</v>
      </c>
      <c r="T213" s="90"/>
      <c r="U213" s="91">
        <v>22</v>
      </c>
      <c r="V213" s="91">
        <v>51.29</v>
      </c>
      <c r="W213" s="91">
        <v>216.29</v>
      </c>
      <c r="Y213" s="90" t="s">
        <v>29</v>
      </c>
      <c r="AA213" s="90">
        <f>AVERAGE(U213,O213,I213,C213)</f>
        <v>25.75</v>
      </c>
      <c r="AB213" s="90">
        <f>AVERAGE(V213,P213,J213,D213)</f>
        <v>24.357500000000002</v>
      </c>
      <c r="AC213" s="90">
        <f>AVERAGE(W213,Q213,K213,E213)</f>
        <v>201.18</v>
      </c>
      <c r="AE213" s="144" t="s">
        <v>29</v>
      </c>
      <c r="AF213" s="144">
        <v>25.75</v>
      </c>
      <c r="AG213" s="144">
        <v>24.357500000000002</v>
      </c>
      <c r="AH213" s="144">
        <v>201.18</v>
      </c>
      <c r="AJ213" s="27" t="s">
        <v>37</v>
      </c>
      <c r="AL213" s="27">
        <v>17.25</v>
      </c>
      <c r="AM213" s="27">
        <v>9.4649999999999999</v>
      </c>
      <c r="AN213" s="27">
        <v>148.92749999999998</v>
      </c>
    </row>
    <row r="214" spans="1:40" x14ac:dyDescent="0.25">
      <c r="A214" s="90" t="s">
        <v>35</v>
      </c>
      <c r="B214" s="90"/>
      <c r="C214" s="91">
        <v>17</v>
      </c>
      <c r="D214" s="91">
        <v>16.29</v>
      </c>
      <c r="E214" s="91">
        <v>147.57</v>
      </c>
      <c r="G214" s="90" t="s">
        <v>35</v>
      </c>
      <c r="H214" s="90"/>
      <c r="I214" s="91">
        <v>16</v>
      </c>
      <c r="J214" s="91">
        <v>14</v>
      </c>
      <c r="K214" s="91">
        <v>145.57</v>
      </c>
      <c r="M214" s="90" t="s">
        <v>35</v>
      </c>
      <c r="N214" s="90"/>
      <c r="O214" s="91">
        <v>17</v>
      </c>
      <c r="P214" s="91">
        <v>14</v>
      </c>
      <c r="Q214" s="91">
        <v>142.71</v>
      </c>
      <c r="S214" s="90" t="s">
        <v>35</v>
      </c>
      <c r="T214" s="90"/>
      <c r="U214" s="91">
        <v>18</v>
      </c>
      <c r="V214" s="91">
        <v>7.57</v>
      </c>
      <c r="W214" s="91">
        <v>132.57</v>
      </c>
      <c r="Y214" s="90" t="s">
        <v>35</v>
      </c>
      <c r="AA214" s="90">
        <f t="shared" ref="AA214:AA226" si="70">AVERAGE(U214,O214,I214,C214)</f>
        <v>17</v>
      </c>
      <c r="AB214" s="90">
        <f t="shared" ref="AB214:AB226" si="71">AVERAGE(V214,P214,J214,D214)</f>
        <v>12.965</v>
      </c>
      <c r="AC214" s="90">
        <f t="shared" ref="AC214:AC226" si="72">AVERAGE(W214,Q214,K214,E214)</f>
        <v>142.10499999999999</v>
      </c>
      <c r="AE214" s="144" t="s">
        <v>35</v>
      </c>
      <c r="AF214" s="144">
        <v>17</v>
      </c>
      <c r="AG214" s="144">
        <v>12.965</v>
      </c>
      <c r="AH214" s="144">
        <v>142.10499999999999</v>
      </c>
      <c r="AJ214" s="27" t="s">
        <v>9</v>
      </c>
      <c r="AL214" s="27">
        <v>19.5</v>
      </c>
      <c r="AM214" s="27">
        <v>18.355</v>
      </c>
      <c r="AN214" s="27">
        <v>145.68</v>
      </c>
    </row>
    <row r="215" spans="1:40" x14ac:dyDescent="0.25">
      <c r="A215" s="123" t="s">
        <v>30</v>
      </c>
      <c r="B215" s="90"/>
      <c r="C215" s="91">
        <v>16</v>
      </c>
      <c r="D215" s="91">
        <v>0</v>
      </c>
      <c r="E215" s="91">
        <v>93.57</v>
      </c>
      <c r="G215" s="123" t="s">
        <v>30</v>
      </c>
      <c r="H215" s="90"/>
      <c r="I215" s="91">
        <v>14</v>
      </c>
      <c r="J215" s="91">
        <v>5.86</v>
      </c>
      <c r="K215" s="91">
        <v>81.14</v>
      </c>
      <c r="M215" s="123" t="s">
        <v>30</v>
      </c>
      <c r="N215" s="90"/>
      <c r="O215" s="91">
        <v>13</v>
      </c>
      <c r="P215" s="91"/>
      <c r="Q215" s="91">
        <v>68.430000000000007</v>
      </c>
      <c r="S215" s="123" t="s">
        <v>30</v>
      </c>
      <c r="T215" s="90"/>
      <c r="U215" s="91">
        <v>10</v>
      </c>
      <c r="V215" s="91">
        <v>-10.57</v>
      </c>
      <c r="W215" s="91">
        <v>47.86</v>
      </c>
      <c r="Y215" s="90" t="s">
        <v>30</v>
      </c>
      <c r="AA215" s="90">
        <f t="shared" si="70"/>
        <v>13.25</v>
      </c>
      <c r="AB215" s="90">
        <f t="shared" si="71"/>
        <v>-1.57</v>
      </c>
      <c r="AC215" s="90">
        <f t="shared" si="72"/>
        <v>72.75</v>
      </c>
      <c r="AE215" s="144" t="s">
        <v>11</v>
      </c>
      <c r="AF215" s="144">
        <v>23.5</v>
      </c>
      <c r="AG215" s="144">
        <v>28.607500000000002</v>
      </c>
      <c r="AH215" s="144">
        <v>227.32249999999999</v>
      </c>
      <c r="AJ215" s="27" t="s">
        <v>12</v>
      </c>
      <c r="AL215" s="27">
        <v>22.25</v>
      </c>
      <c r="AM215" s="27">
        <v>28.605000000000004</v>
      </c>
      <c r="AN215" s="27">
        <v>194.57499999999999</v>
      </c>
    </row>
    <row r="216" spans="1:40" x14ac:dyDescent="0.25">
      <c r="A216" s="90" t="s">
        <v>32</v>
      </c>
      <c r="B216" s="90"/>
      <c r="C216" s="91">
        <v>20</v>
      </c>
      <c r="D216" s="91">
        <v>12</v>
      </c>
      <c r="E216" s="91">
        <v>192.86</v>
      </c>
      <c r="G216" s="90" t="s">
        <v>32</v>
      </c>
      <c r="H216" s="90"/>
      <c r="I216" s="91">
        <v>21</v>
      </c>
      <c r="J216" s="91">
        <v>14.14</v>
      </c>
      <c r="K216" s="91">
        <v>186.29</v>
      </c>
      <c r="M216" s="90" t="s">
        <v>32</v>
      </c>
      <c r="N216" s="90"/>
      <c r="O216" s="91">
        <v>23</v>
      </c>
      <c r="P216" s="91">
        <v>21.29</v>
      </c>
      <c r="Q216" s="91">
        <v>186.29</v>
      </c>
      <c r="S216" s="90" t="s">
        <v>32</v>
      </c>
      <c r="T216" s="90"/>
      <c r="U216" s="91">
        <v>23</v>
      </c>
      <c r="V216" s="91">
        <v>20.14</v>
      </c>
      <c r="W216" s="91">
        <v>184.86</v>
      </c>
      <c r="Y216" s="90" t="s">
        <v>32</v>
      </c>
      <c r="AA216" s="90">
        <f t="shared" si="70"/>
        <v>21.75</v>
      </c>
      <c r="AB216" s="90">
        <f t="shared" si="71"/>
        <v>16.892499999999998</v>
      </c>
      <c r="AC216" s="90">
        <f t="shared" si="72"/>
        <v>187.57499999999999</v>
      </c>
      <c r="AE216" s="144" t="s">
        <v>9</v>
      </c>
      <c r="AF216" s="144">
        <v>19.5</v>
      </c>
      <c r="AG216" s="144">
        <v>18.355</v>
      </c>
      <c r="AH216" s="144">
        <v>145.68</v>
      </c>
      <c r="AJ216" s="27" t="s">
        <v>10</v>
      </c>
      <c r="AL216" s="27">
        <v>17.75</v>
      </c>
      <c r="AM216" s="27">
        <v>26.36</v>
      </c>
      <c r="AN216" s="27">
        <v>184.715</v>
      </c>
    </row>
    <row r="217" spans="1:40" x14ac:dyDescent="0.25">
      <c r="A217" s="123" t="s">
        <v>31</v>
      </c>
      <c r="B217" s="90"/>
      <c r="C217" s="91">
        <v>6</v>
      </c>
      <c r="D217" s="91">
        <v>0</v>
      </c>
      <c r="E217" s="91">
        <v>41.86</v>
      </c>
      <c r="G217" s="123" t="s">
        <v>31</v>
      </c>
      <c r="H217" s="90"/>
      <c r="I217" s="91">
        <v>6</v>
      </c>
      <c r="J217" s="91">
        <v>12.14</v>
      </c>
      <c r="K217" s="91">
        <v>48</v>
      </c>
      <c r="M217" s="123" t="s">
        <v>31</v>
      </c>
      <c r="N217" s="90"/>
      <c r="O217" s="91">
        <v>5</v>
      </c>
      <c r="P217" s="91"/>
      <c r="Q217" s="91">
        <v>43</v>
      </c>
      <c r="S217" s="123" t="s">
        <v>31</v>
      </c>
      <c r="T217" s="90"/>
      <c r="U217" s="91">
        <v>5</v>
      </c>
      <c r="V217" s="91">
        <v>7</v>
      </c>
      <c r="W217" s="91">
        <v>45</v>
      </c>
      <c r="Y217" s="90" t="s">
        <v>31</v>
      </c>
      <c r="AA217" s="90">
        <f t="shared" si="70"/>
        <v>5.5</v>
      </c>
      <c r="AB217" s="90">
        <f t="shared" si="71"/>
        <v>6.38</v>
      </c>
      <c r="AC217" s="90">
        <f t="shared" si="72"/>
        <v>44.465000000000003</v>
      </c>
      <c r="AE217" s="144" t="s">
        <v>10</v>
      </c>
      <c r="AF217" s="144">
        <v>17.75</v>
      </c>
      <c r="AG217" s="144">
        <v>26.36</v>
      </c>
      <c r="AH217" s="144">
        <v>184.715</v>
      </c>
      <c r="AJ217" s="27" t="s">
        <v>473</v>
      </c>
      <c r="AL217" s="27">
        <v>19.75</v>
      </c>
      <c r="AM217" s="27">
        <v>18.18</v>
      </c>
      <c r="AN217" s="27">
        <v>176.78250000000003</v>
      </c>
    </row>
    <row r="218" spans="1:40" x14ac:dyDescent="0.25">
      <c r="A218" s="92" t="s">
        <v>481</v>
      </c>
      <c r="B218" s="92"/>
      <c r="C218" s="94">
        <v>18</v>
      </c>
      <c r="D218" s="94">
        <v>16.43</v>
      </c>
      <c r="E218" s="94">
        <v>110.71</v>
      </c>
      <c r="G218" s="92" t="s">
        <v>481</v>
      </c>
      <c r="H218" s="92"/>
      <c r="I218" s="94">
        <v>17</v>
      </c>
      <c r="J218" s="94">
        <v>-2.29</v>
      </c>
      <c r="K218" s="94">
        <v>91.71</v>
      </c>
      <c r="M218" s="92" t="s">
        <v>481</v>
      </c>
      <c r="N218" s="92"/>
      <c r="O218" s="94">
        <v>16</v>
      </c>
      <c r="P218" s="94">
        <v>11.71</v>
      </c>
      <c r="Q218" s="94">
        <v>88</v>
      </c>
      <c r="S218" s="92" t="s">
        <v>481</v>
      </c>
      <c r="T218" s="92"/>
      <c r="U218" s="94">
        <v>14</v>
      </c>
      <c r="V218" s="94">
        <v>30.71</v>
      </c>
      <c r="W218" s="94">
        <v>106.71</v>
      </c>
      <c r="Y218" s="92" t="s">
        <v>690</v>
      </c>
      <c r="AA218" s="92">
        <f t="shared" si="70"/>
        <v>16.25</v>
      </c>
      <c r="AB218" s="92">
        <f t="shared" si="71"/>
        <v>14.14</v>
      </c>
      <c r="AC218" s="92">
        <f t="shared" si="72"/>
        <v>99.282499999999985</v>
      </c>
      <c r="AE218" s="145" t="s">
        <v>866</v>
      </c>
      <c r="AF218" s="145">
        <f>AVERAGE(AF213:AF217)</f>
        <v>20.7</v>
      </c>
      <c r="AG218" s="145">
        <f>AVERAGE(AG213:AG217)</f>
        <v>22.129000000000001</v>
      </c>
      <c r="AH218" s="145">
        <f>AVERAGE(AH213:AH217)</f>
        <v>180.20049999999998</v>
      </c>
      <c r="AL218">
        <f>AVERAGE(AL213:AL217)</f>
        <v>19.3</v>
      </c>
      <c r="AM218">
        <f t="shared" ref="AM218:AN218" si="73">AVERAGE(AM213:AM217)</f>
        <v>20.193000000000001</v>
      </c>
      <c r="AN218">
        <f t="shared" si="73"/>
        <v>170.136</v>
      </c>
    </row>
    <row r="219" spans="1:40" x14ac:dyDescent="0.25">
      <c r="A219" s="92" t="s">
        <v>11</v>
      </c>
      <c r="B219" s="92"/>
      <c r="C219" s="94">
        <v>23</v>
      </c>
      <c r="D219" s="94">
        <v>34.43</v>
      </c>
      <c r="E219" s="94">
        <v>219.43</v>
      </c>
      <c r="G219" s="92" t="s">
        <v>11</v>
      </c>
      <c r="H219" s="92"/>
      <c r="I219" s="94">
        <v>24</v>
      </c>
      <c r="J219" s="94">
        <v>37.86</v>
      </c>
      <c r="K219" s="94">
        <v>233.29</v>
      </c>
      <c r="M219" s="92" t="s">
        <v>11</v>
      </c>
      <c r="N219" s="92"/>
      <c r="O219" s="94">
        <v>23</v>
      </c>
      <c r="P219" s="94">
        <v>19.71</v>
      </c>
      <c r="Q219" s="94">
        <v>229</v>
      </c>
      <c r="S219" s="92" t="s">
        <v>11</v>
      </c>
      <c r="T219" s="92"/>
      <c r="U219" s="94">
        <v>24</v>
      </c>
      <c r="V219" s="94">
        <v>22.43</v>
      </c>
      <c r="W219" s="94">
        <v>227.57</v>
      </c>
      <c r="Y219" s="92" t="s">
        <v>11</v>
      </c>
      <c r="AA219" s="92">
        <f t="shared" si="70"/>
        <v>23.5</v>
      </c>
      <c r="AB219" s="92">
        <f t="shared" si="71"/>
        <v>28.607500000000002</v>
      </c>
      <c r="AC219" s="92">
        <f t="shared" si="72"/>
        <v>227.32249999999999</v>
      </c>
      <c r="AE219" s="111" t="s">
        <v>36</v>
      </c>
      <c r="AF219" s="111">
        <v>18.5</v>
      </c>
      <c r="AG219" s="111">
        <v>22.822499999999998</v>
      </c>
      <c r="AH219" s="111">
        <v>176.28749999999997</v>
      </c>
      <c r="AJ219" t="s">
        <v>679</v>
      </c>
      <c r="AK219" s="164"/>
      <c r="AL219" s="164"/>
      <c r="AM219" s="164"/>
    </row>
    <row r="220" spans="1:40" ht="45" x14ac:dyDescent="0.25">
      <c r="A220" s="92" t="s">
        <v>36</v>
      </c>
      <c r="B220" s="92"/>
      <c r="C220" s="94">
        <v>18</v>
      </c>
      <c r="D220" s="94">
        <v>22.43</v>
      </c>
      <c r="E220" s="94">
        <v>166.29</v>
      </c>
      <c r="G220" s="92" t="s">
        <v>36</v>
      </c>
      <c r="H220" s="92"/>
      <c r="I220" s="94">
        <v>19</v>
      </c>
      <c r="J220" s="94">
        <v>34.43</v>
      </c>
      <c r="K220" s="94">
        <v>181.57</v>
      </c>
      <c r="M220" s="92" t="s">
        <v>36</v>
      </c>
      <c r="N220" s="92"/>
      <c r="O220" s="94">
        <v>19</v>
      </c>
      <c r="P220" s="94">
        <v>9.86</v>
      </c>
      <c r="Q220" s="94">
        <v>175</v>
      </c>
      <c r="S220" s="92" t="s">
        <v>36</v>
      </c>
      <c r="T220" s="92"/>
      <c r="U220" s="94">
        <v>18</v>
      </c>
      <c r="V220" s="94">
        <v>24.57</v>
      </c>
      <c r="W220" s="94">
        <v>182.29</v>
      </c>
      <c r="Y220" s="92" t="s">
        <v>36</v>
      </c>
      <c r="AA220" s="92">
        <f t="shared" si="70"/>
        <v>18.5</v>
      </c>
      <c r="AB220" s="92">
        <f t="shared" si="71"/>
        <v>22.822499999999998</v>
      </c>
      <c r="AC220" s="92">
        <f t="shared" si="72"/>
        <v>176.28749999999997</v>
      </c>
      <c r="AE220" s="111" t="s">
        <v>37</v>
      </c>
      <c r="AF220" s="111">
        <v>17.25</v>
      </c>
      <c r="AG220" s="111">
        <v>9.4649999999999999</v>
      </c>
      <c r="AH220" s="111">
        <v>148.92749999999998</v>
      </c>
      <c r="AJ220" s="71" t="s">
        <v>685</v>
      </c>
      <c r="AK220" s="71" t="s">
        <v>26</v>
      </c>
      <c r="AL220" s="71" t="s">
        <v>27</v>
      </c>
      <c r="AM220" s="71" t="s">
        <v>28</v>
      </c>
    </row>
    <row r="221" spans="1:40" x14ac:dyDescent="0.25">
      <c r="A221" s="92" t="s">
        <v>48</v>
      </c>
      <c r="B221" s="92"/>
      <c r="C221" s="94">
        <v>15</v>
      </c>
      <c r="D221" s="94">
        <v>44.14</v>
      </c>
      <c r="E221" s="94">
        <v>165</v>
      </c>
      <c r="G221" s="92" t="s">
        <v>48</v>
      </c>
      <c r="H221" s="92"/>
      <c r="I221" s="94">
        <v>15</v>
      </c>
      <c r="J221" s="94">
        <v>10.14</v>
      </c>
      <c r="K221" s="94">
        <v>160.43</v>
      </c>
      <c r="M221" s="92" t="s">
        <v>48</v>
      </c>
      <c r="N221" s="92"/>
      <c r="O221" s="94">
        <v>15</v>
      </c>
      <c r="P221" s="94">
        <v>25.57</v>
      </c>
      <c r="Q221" s="94">
        <v>171.57</v>
      </c>
      <c r="S221" s="92" t="s">
        <v>48</v>
      </c>
      <c r="T221" s="92"/>
      <c r="U221" s="94">
        <v>16</v>
      </c>
      <c r="V221" s="94">
        <v>30.14</v>
      </c>
      <c r="W221" s="94">
        <v>186.86</v>
      </c>
      <c r="Y221" s="92" t="s">
        <v>48</v>
      </c>
      <c r="AA221" s="92">
        <f t="shared" si="70"/>
        <v>15.25</v>
      </c>
      <c r="AB221" s="92">
        <f t="shared" si="71"/>
        <v>27.497499999999999</v>
      </c>
      <c r="AC221" s="92">
        <f t="shared" si="72"/>
        <v>170.965</v>
      </c>
      <c r="AE221" s="111" t="s">
        <v>12</v>
      </c>
      <c r="AF221" s="111">
        <v>22.25</v>
      </c>
      <c r="AG221" s="111">
        <v>28.605000000000004</v>
      </c>
      <c r="AH221" s="111">
        <v>194.57499999999999</v>
      </c>
      <c r="AJ221" s="27" t="s">
        <v>37</v>
      </c>
      <c r="AK221" s="27">
        <v>18.399999999999999</v>
      </c>
      <c r="AL221" s="27">
        <v>16.655999999999999</v>
      </c>
      <c r="AM221" s="27">
        <v>139.54000000000002</v>
      </c>
    </row>
    <row r="222" spans="1:40" x14ac:dyDescent="0.25">
      <c r="A222" s="27" t="s">
        <v>37</v>
      </c>
      <c r="B222" s="27"/>
      <c r="C222" s="28">
        <v>18</v>
      </c>
      <c r="D222" s="28">
        <v>2</v>
      </c>
      <c r="E222" s="28">
        <v>160.71</v>
      </c>
      <c r="G222" s="27" t="s">
        <v>37</v>
      </c>
      <c r="H222" s="27"/>
      <c r="I222" s="28">
        <v>17</v>
      </c>
      <c r="J222" s="28">
        <v>8</v>
      </c>
      <c r="K222" s="28">
        <v>150.57</v>
      </c>
      <c r="M222" s="27" t="s">
        <v>37</v>
      </c>
      <c r="N222" s="27"/>
      <c r="O222" s="28">
        <v>18</v>
      </c>
      <c r="P222" s="28">
        <v>9</v>
      </c>
      <c r="Q222" s="28">
        <v>141.13999999999999</v>
      </c>
      <c r="S222" s="27" t="s">
        <v>37</v>
      </c>
      <c r="T222" s="27"/>
      <c r="U222" s="28">
        <v>16</v>
      </c>
      <c r="V222" s="28">
        <v>18.86</v>
      </c>
      <c r="W222" s="28">
        <v>143.29</v>
      </c>
      <c r="Y222" s="27" t="s">
        <v>37</v>
      </c>
      <c r="AA222" s="27">
        <f t="shared" si="70"/>
        <v>17.25</v>
      </c>
      <c r="AB222" s="27">
        <f t="shared" si="71"/>
        <v>9.4649999999999999</v>
      </c>
      <c r="AC222" s="27">
        <f t="shared" si="72"/>
        <v>148.92749999999998</v>
      </c>
      <c r="AE222" s="111" t="s">
        <v>32</v>
      </c>
      <c r="AF222" s="111">
        <v>21.75</v>
      </c>
      <c r="AG222" s="111">
        <v>16.892499999999998</v>
      </c>
      <c r="AH222" s="111">
        <v>187.57499999999999</v>
      </c>
      <c r="AJ222" s="27" t="s">
        <v>9</v>
      </c>
      <c r="AK222" s="27">
        <v>20.6</v>
      </c>
      <c r="AL222" s="27">
        <v>22.855999999999998</v>
      </c>
      <c r="AM222" s="27">
        <v>164.77199999999999</v>
      </c>
    </row>
    <row r="223" spans="1:40" x14ac:dyDescent="0.25">
      <c r="A223" s="27" t="s">
        <v>9</v>
      </c>
      <c r="B223" s="27"/>
      <c r="C223" s="28">
        <v>20</v>
      </c>
      <c r="D223" s="28">
        <v>12.71</v>
      </c>
      <c r="E223" s="28">
        <v>141.43</v>
      </c>
      <c r="G223" s="27" t="s">
        <v>9</v>
      </c>
      <c r="H223" s="27"/>
      <c r="I223" s="28">
        <v>20</v>
      </c>
      <c r="J223" s="28">
        <v>19</v>
      </c>
      <c r="K223" s="28">
        <v>140.43</v>
      </c>
      <c r="M223" s="27" t="s">
        <v>9</v>
      </c>
      <c r="N223" s="27"/>
      <c r="O223" s="28">
        <v>20</v>
      </c>
      <c r="P223" s="28">
        <v>31.57</v>
      </c>
      <c r="Q223" s="28">
        <v>153.86000000000001</v>
      </c>
      <c r="S223" s="27" t="s">
        <v>9</v>
      </c>
      <c r="T223" s="27"/>
      <c r="U223" s="28">
        <v>18</v>
      </c>
      <c r="V223" s="28">
        <v>10.14</v>
      </c>
      <c r="W223" s="28">
        <v>147</v>
      </c>
      <c r="Y223" s="27" t="s">
        <v>9</v>
      </c>
      <c r="AA223" s="27">
        <f t="shared" si="70"/>
        <v>19.5</v>
      </c>
      <c r="AB223" s="27">
        <f t="shared" si="71"/>
        <v>18.355</v>
      </c>
      <c r="AC223" s="27">
        <f t="shared" si="72"/>
        <v>145.68</v>
      </c>
      <c r="AE223" s="148" t="s">
        <v>867</v>
      </c>
      <c r="AF223" s="148">
        <f>AVERAGE(AF219:AF222)</f>
        <v>19.9375</v>
      </c>
      <c r="AG223" s="148">
        <f>AVERAGE(AG219:AG222)</f>
        <v>19.446249999999999</v>
      </c>
      <c r="AH223" s="148">
        <f>AVERAGE(AH219:AH222)</f>
        <v>176.84125</v>
      </c>
      <c r="AJ223" s="27" t="s">
        <v>12</v>
      </c>
      <c r="AK223" s="27">
        <v>26.6</v>
      </c>
      <c r="AL223" s="27">
        <v>29.314</v>
      </c>
      <c r="AM223" s="27">
        <v>196.286</v>
      </c>
    </row>
    <row r="224" spans="1:40" x14ac:dyDescent="0.25">
      <c r="A224" s="27" t="s">
        <v>12</v>
      </c>
      <c r="B224" s="27"/>
      <c r="C224" s="28">
        <v>20</v>
      </c>
      <c r="D224" s="28">
        <v>43.71</v>
      </c>
      <c r="E224" s="28">
        <v>189.29</v>
      </c>
      <c r="G224" s="27" t="s">
        <v>12</v>
      </c>
      <c r="H224" s="27"/>
      <c r="I224" s="28">
        <v>21</v>
      </c>
      <c r="J224" s="28">
        <v>43.14</v>
      </c>
      <c r="K224" s="28">
        <v>212.43</v>
      </c>
      <c r="M224" s="27" t="s">
        <v>12</v>
      </c>
      <c r="N224" s="27"/>
      <c r="O224" s="28">
        <v>23</v>
      </c>
      <c r="P224" s="28">
        <v>-6</v>
      </c>
      <c r="Q224" s="28">
        <v>183.29</v>
      </c>
      <c r="S224" s="27" t="s">
        <v>12</v>
      </c>
      <c r="T224" s="27"/>
      <c r="U224" s="28">
        <v>25</v>
      </c>
      <c r="V224" s="28">
        <v>33.57</v>
      </c>
      <c r="W224" s="28">
        <v>193.29</v>
      </c>
      <c r="Y224" s="27" t="s">
        <v>12</v>
      </c>
      <c r="AA224" s="27">
        <f t="shared" si="70"/>
        <v>22.25</v>
      </c>
      <c r="AB224" s="27">
        <f t="shared" si="71"/>
        <v>28.605000000000004</v>
      </c>
      <c r="AC224" s="27">
        <f t="shared" si="72"/>
        <v>194.57499999999999</v>
      </c>
      <c r="AE224" s="92" t="s">
        <v>690</v>
      </c>
      <c r="AF224" s="92">
        <v>16.25</v>
      </c>
      <c r="AG224" s="92">
        <v>14.14</v>
      </c>
      <c r="AH224" s="92">
        <v>99.282499999999985</v>
      </c>
      <c r="AJ224" s="27" t="s">
        <v>10</v>
      </c>
      <c r="AK224" s="27">
        <v>20.8</v>
      </c>
      <c r="AL224" s="27">
        <v>24.771999999999998</v>
      </c>
      <c r="AM224" s="27">
        <v>217.96999999999997</v>
      </c>
    </row>
    <row r="225" spans="1:39" x14ac:dyDescent="0.25">
      <c r="A225" s="27" t="s">
        <v>10</v>
      </c>
      <c r="B225" s="27"/>
      <c r="C225" s="28">
        <v>17</v>
      </c>
      <c r="D225" s="28">
        <v>53.86</v>
      </c>
      <c r="E225" s="28">
        <v>187</v>
      </c>
      <c r="G225" s="27" t="s">
        <v>10</v>
      </c>
      <c r="H225" s="27"/>
      <c r="I225" s="28">
        <v>17</v>
      </c>
      <c r="J225" s="28">
        <v>9.86</v>
      </c>
      <c r="K225" s="28">
        <v>179.43</v>
      </c>
      <c r="M225" s="27" t="s">
        <v>10</v>
      </c>
      <c r="N225" s="27"/>
      <c r="O225" s="28">
        <v>18</v>
      </c>
      <c r="P225" s="28">
        <v>23.43</v>
      </c>
      <c r="Q225" s="28">
        <v>185.86</v>
      </c>
      <c r="S225" s="27" t="s">
        <v>10</v>
      </c>
      <c r="T225" s="27"/>
      <c r="U225" s="28">
        <v>19</v>
      </c>
      <c r="V225" s="28">
        <v>18.29</v>
      </c>
      <c r="W225" s="28">
        <v>186.57</v>
      </c>
      <c r="Y225" s="27" t="s">
        <v>10</v>
      </c>
      <c r="AA225" s="27">
        <f t="shared" si="70"/>
        <v>17.75</v>
      </c>
      <c r="AB225" s="27">
        <f t="shared" si="71"/>
        <v>26.36</v>
      </c>
      <c r="AC225" s="27">
        <f t="shared" si="72"/>
        <v>184.715</v>
      </c>
      <c r="AE225" s="92" t="s">
        <v>48</v>
      </c>
      <c r="AF225" s="92">
        <v>15.25</v>
      </c>
      <c r="AG225" s="92">
        <v>27.497499999999999</v>
      </c>
      <c r="AH225" s="92">
        <v>170.965</v>
      </c>
      <c r="AJ225" s="27" t="s">
        <v>672</v>
      </c>
      <c r="AK225" s="27">
        <v>18.8</v>
      </c>
      <c r="AL225" s="27">
        <v>15.974</v>
      </c>
      <c r="AM225" s="27">
        <v>164.62800000000001</v>
      </c>
    </row>
    <row r="226" spans="1:39" x14ac:dyDescent="0.25">
      <c r="A226" s="27" t="s">
        <v>672</v>
      </c>
      <c r="B226" s="27"/>
      <c r="C226" s="28">
        <v>16</v>
      </c>
      <c r="D226" s="28">
        <v>21.29</v>
      </c>
      <c r="E226" s="28">
        <v>183.71</v>
      </c>
      <c r="G226" s="27" t="s">
        <v>672</v>
      </c>
      <c r="H226" s="27"/>
      <c r="I226" s="28">
        <v>18</v>
      </c>
      <c r="J226" s="28">
        <v>12.86</v>
      </c>
      <c r="K226" s="28">
        <v>178.57</v>
      </c>
      <c r="M226" s="27" t="s">
        <v>672</v>
      </c>
      <c r="N226" s="27"/>
      <c r="O226" s="28">
        <v>23</v>
      </c>
      <c r="P226" s="28">
        <v>12.14</v>
      </c>
      <c r="Q226" s="28">
        <v>170.14</v>
      </c>
      <c r="S226" s="27" t="s">
        <v>672</v>
      </c>
      <c r="T226" s="27"/>
      <c r="U226" s="28">
        <v>22</v>
      </c>
      <c r="V226" s="28">
        <v>26.43</v>
      </c>
      <c r="W226" s="28">
        <v>174.71</v>
      </c>
      <c r="Y226" s="27" t="s">
        <v>473</v>
      </c>
      <c r="AA226" s="27">
        <f t="shared" si="70"/>
        <v>19.75</v>
      </c>
      <c r="AB226" s="27">
        <f t="shared" si="71"/>
        <v>18.18</v>
      </c>
      <c r="AC226" s="27">
        <f t="shared" si="72"/>
        <v>176.78250000000003</v>
      </c>
      <c r="AE226" s="92" t="s">
        <v>19</v>
      </c>
      <c r="AF226" s="92">
        <v>19.75</v>
      </c>
      <c r="AG226" s="92">
        <v>18.18</v>
      </c>
      <c r="AH226" s="92">
        <v>176.78250000000003</v>
      </c>
      <c r="AJ226" s="163" t="s">
        <v>931</v>
      </c>
      <c r="AK226" s="163">
        <f>AVERAGE(AK221:AK225)</f>
        <v>21.04</v>
      </c>
      <c r="AL226" s="163">
        <f t="shared" ref="AL226" si="74">AVERAGE(AL221:AL225)</f>
        <v>21.914399999999997</v>
      </c>
      <c r="AM226" s="163">
        <f t="shared" ref="AM226" si="75">AVERAGE(AM221:AM225)</f>
        <v>176.63920000000002</v>
      </c>
    </row>
    <row r="227" spans="1:39" x14ac:dyDescent="0.25">
      <c r="A227" s="2" t="s">
        <v>649</v>
      </c>
      <c r="B227" s="2"/>
      <c r="C227" s="28">
        <v>1</v>
      </c>
      <c r="D227" s="28"/>
      <c r="E227" s="28"/>
      <c r="G227" s="2" t="s">
        <v>649</v>
      </c>
      <c r="H227" s="2"/>
      <c r="I227" s="28">
        <v>1</v>
      </c>
      <c r="J227" s="28"/>
      <c r="K227" s="28"/>
      <c r="M227" s="2" t="s">
        <v>649</v>
      </c>
      <c r="N227" s="2"/>
      <c r="O227" s="28">
        <v>1</v>
      </c>
      <c r="P227" s="28"/>
      <c r="Q227" s="28"/>
      <c r="S227" s="2" t="s">
        <v>649</v>
      </c>
      <c r="T227" s="2"/>
      <c r="U227" s="28">
        <v>1</v>
      </c>
      <c r="V227" s="28"/>
      <c r="W227" s="28"/>
      <c r="Y227" s="2" t="s">
        <v>649</v>
      </c>
      <c r="AA227" s="27"/>
      <c r="AB227" s="27"/>
      <c r="AC227" s="27"/>
      <c r="AE227" s="147" t="s">
        <v>868</v>
      </c>
      <c r="AF227" s="147">
        <f>AVERAGE(AF224:AF226)</f>
        <v>17.083333333333332</v>
      </c>
      <c r="AG227" s="147">
        <f t="shared" ref="AG227:AH227" si="76">AVERAGE(AG224:AG226)</f>
        <v>19.939166666666669</v>
      </c>
      <c r="AH227" s="147">
        <f t="shared" si="76"/>
        <v>149.01000000000002</v>
      </c>
    </row>
    <row r="228" spans="1:39" x14ac:dyDescent="0.25">
      <c r="A228" s="72" t="s">
        <v>39</v>
      </c>
      <c r="B228" s="72"/>
      <c r="C228" s="8">
        <f>SUM(C211:C227)</f>
        <v>253</v>
      </c>
      <c r="D228" s="8">
        <f>SUM(D211:D227)</f>
        <v>299.58000000000004</v>
      </c>
      <c r="E228" s="8">
        <f>SUM(E211:E227)</f>
        <v>2209</v>
      </c>
      <c r="G228" s="72" t="s">
        <v>39</v>
      </c>
      <c r="H228" s="72"/>
      <c r="I228" s="8">
        <f>SUM(I211:I227)</f>
        <v>253</v>
      </c>
      <c r="J228" s="8">
        <f>SUM(J211:J227)</f>
        <v>221.85000000000002</v>
      </c>
      <c r="K228" s="8">
        <f>SUM(K211:K227)</f>
        <v>2180</v>
      </c>
      <c r="M228" s="72" t="s">
        <v>39</v>
      </c>
      <c r="N228" s="72"/>
      <c r="O228" s="8">
        <f>SUM(O211:O227)</f>
        <v>260</v>
      </c>
      <c r="P228" s="8">
        <f>SUM(P211:P227)</f>
        <v>195.42000000000002</v>
      </c>
      <c r="Q228" s="8">
        <f>SUM(Q211:Q227)</f>
        <v>2126.58</v>
      </c>
      <c r="S228" s="72" t="s">
        <v>39</v>
      </c>
      <c r="T228" s="72"/>
      <c r="U228" s="8">
        <f>SUM(U211:U227)</f>
        <v>251</v>
      </c>
      <c r="V228" s="8">
        <f>SUM(V211:V227)</f>
        <v>290.57000000000005</v>
      </c>
      <c r="W228" s="8">
        <f>SUM(W211:W227)</f>
        <v>2174.87</v>
      </c>
      <c r="Y228" s="127" t="s">
        <v>897</v>
      </c>
      <c r="AA228" s="203">
        <f>AVERAGE(AA213:AA227)</f>
        <v>18.089285714285715</v>
      </c>
      <c r="AB228" s="203">
        <f>AVERAGE(AB213:AB227)</f>
        <v>18.075535714285714</v>
      </c>
      <c r="AC228" s="203">
        <f>AVERAGE(AC213:AC227)</f>
        <v>155.18660714285716</v>
      </c>
      <c r="AE228" s="90" t="s">
        <v>31</v>
      </c>
      <c r="AF228" s="90">
        <v>5.5</v>
      </c>
      <c r="AG228" s="90">
        <v>6.38</v>
      </c>
      <c r="AH228" s="90">
        <v>44.465000000000003</v>
      </c>
    </row>
    <row r="229" spans="1:39" x14ac:dyDescent="0.25">
      <c r="A229" s="72"/>
      <c r="B229" s="72"/>
      <c r="C229" s="7"/>
      <c r="D229" s="7"/>
      <c r="E229" s="7"/>
      <c r="G229" s="72"/>
      <c r="H229" s="72"/>
      <c r="I229" s="7"/>
      <c r="J229" s="7"/>
      <c r="K229" s="7"/>
      <c r="M229" s="72"/>
      <c r="N229" s="72"/>
      <c r="O229" s="7"/>
      <c r="P229" s="7"/>
      <c r="Q229" s="7"/>
      <c r="S229" s="72"/>
      <c r="T229" s="72"/>
      <c r="U229" s="7"/>
      <c r="V229" s="7"/>
      <c r="W229" s="7"/>
      <c r="AE229" s="90" t="s">
        <v>30</v>
      </c>
      <c r="AF229" s="90">
        <v>13.25</v>
      </c>
      <c r="AG229" s="90">
        <v>-1.57</v>
      </c>
      <c r="AH229" s="90">
        <v>72.75</v>
      </c>
    </row>
    <row r="230" spans="1:39" x14ac:dyDescent="0.25">
      <c r="A230" s="72"/>
      <c r="B230" s="6" t="s">
        <v>477</v>
      </c>
      <c r="C230" s="131">
        <f>SUM(C213:C217)</f>
        <v>87</v>
      </c>
      <c r="D230" s="131">
        <f t="shared" ref="D230:E230" si="77">SUM(D213:D217)</f>
        <v>48.58</v>
      </c>
      <c r="E230" s="131">
        <f t="shared" si="77"/>
        <v>685.43</v>
      </c>
      <c r="G230" s="72"/>
      <c r="H230" s="6">
        <v>1</v>
      </c>
      <c r="I230" s="131">
        <f>SUM(I213:I217)</f>
        <v>84</v>
      </c>
      <c r="J230" s="131">
        <f t="shared" ref="J230:K230" si="78">SUM(J213:J217)</f>
        <v>48.85</v>
      </c>
      <c r="K230" s="131">
        <f t="shared" si="78"/>
        <v>651.56999999999994</v>
      </c>
      <c r="M230" s="72"/>
      <c r="N230" s="6">
        <v>1</v>
      </c>
      <c r="O230" s="95">
        <f>SUM(O213:O217)</f>
        <v>84</v>
      </c>
      <c r="P230" s="95">
        <f t="shared" ref="P230:Q230" si="79">SUM(P213:P217)</f>
        <v>58.43</v>
      </c>
      <c r="Q230" s="95">
        <f t="shared" si="79"/>
        <v>628.72</v>
      </c>
      <c r="S230" s="72"/>
      <c r="T230" s="6">
        <v>1</v>
      </c>
      <c r="U230" s="95">
        <f>SUM(U213:U217)</f>
        <v>78</v>
      </c>
      <c r="V230" s="95">
        <f t="shared" ref="V230:W230" si="80">SUM(V213:V217)</f>
        <v>75.430000000000007</v>
      </c>
      <c r="W230" s="95">
        <f t="shared" si="80"/>
        <v>626.58000000000004</v>
      </c>
    </row>
    <row r="231" spans="1:39" ht="30" x14ac:dyDescent="0.25">
      <c r="A231" s="68" t="s">
        <v>50</v>
      </c>
      <c r="B231" s="87" t="s">
        <v>478</v>
      </c>
      <c r="C231" s="131">
        <f>SUM(C218:C221)</f>
        <v>74</v>
      </c>
      <c r="D231" s="131">
        <f t="shared" ref="D231:E231" si="81">SUM(D218:D221)</f>
        <v>117.42999999999999</v>
      </c>
      <c r="E231" s="131">
        <f t="shared" si="81"/>
        <v>661.43</v>
      </c>
      <c r="G231" s="68" t="s">
        <v>50</v>
      </c>
      <c r="H231" s="87">
        <v>2</v>
      </c>
      <c r="I231" s="95">
        <f>SUM(I218:I221)</f>
        <v>75</v>
      </c>
      <c r="J231" s="95">
        <f t="shared" ref="J231:K231" si="82">SUM(J218:J221)</f>
        <v>80.14</v>
      </c>
      <c r="K231" s="95">
        <f t="shared" si="82"/>
        <v>667</v>
      </c>
      <c r="M231" s="68" t="s">
        <v>50</v>
      </c>
      <c r="N231" s="87">
        <v>2</v>
      </c>
      <c r="O231" s="95">
        <f>SUM(O218:O221)</f>
        <v>73</v>
      </c>
      <c r="P231" s="95">
        <f t="shared" ref="P231:Q231" si="83">SUM(P218:P221)</f>
        <v>66.849999999999994</v>
      </c>
      <c r="Q231" s="95">
        <f t="shared" si="83"/>
        <v>663.56999999999994</v>
      </c>
      <c r="S231" s="68" t="s">
        <v>50</v>
      </c>
      <c r="T231" s="87">
        <v>2</v>
      </c>
      <c r="U231" s="95">
        <f>SUM(U218:U221)</f>
        <v>72</v>
      </c>
      <c r="V231" s="93">
        <f t="shared" ref="V231:W231" si="84">SUM(V218:V221)</f>
        <v>107.85000000000001</v>
      </c>
      <c r="W231" s="95">
        <f t="shared" si="84"/>
        <v>703.43</v>
      </c>
    </row>
    <row r="232" spans="1:39" x14ac:dyDescent="0.25">
      <c r="A232" s="72"/>
      <c r="B232" s="6" t="s">
        <v>479</v>
      </c>
      <c r="C232" s="93">
        <f>SUM(C222:C226)</f>
        <v>91</v>
      </c>
      <c r="D232" s="93">
        <f t="shared" ref="D232:E232" si="85">SUM(D222:D226)</f>
        <v>133.57</v>
      </c>
      <c r="E232" s="93">
        <f t="shared" si="85"/>
        <v>862.14</v>
      </c>
      <c r="G232" s="72"/>
      <c r="H232" s="6">
        <v>3</v>
      </c>
      <c r="I232" s="93">
        <f>SUM(I222:I226)</f>
        <v>93</v>
      </c>
      <c r="J232" s="93">
        <f t="shared" ref="J232:K232" si="86">SUM(J222:J226)</f>
        <v>92.86</v>
      </c>
      <c r="K232" s="93">
        <f t="shared" si="86"/>
        <v>861.43000000000006</v>
      </c>
      <c r="M232" s="72"/>
      <c r="N232" s="6">
        <v>3</v>
      </c>
      <c r="O232" s="93">
        <f>SUM(O222:O226)</f>
        <v>102</v>
      </c>
      <c r="P232" s="93">
        <f t="shared" ref="P232:Q232" si="87">SUM(P222:P226)</f>
        <v>70.14</v>
      </c>
      <c r="Q232" s="93">
        <f t="shared" si="87"/>
        <v>834.29</v>
      </c>
      <c r="S232" s="72"/>
      <c r="T232" s="6">
        <v>3</v>
      </c>
      <c r="U232" s="93">
        <f>SUM(U222:U226)</f>
        <v>100</v>
      </c>
      <c r="V232" s="95">
        <f t="shared" ref="V232:W232" si="88">SUM(V222:V226)</f>
        <v>107.28999999999999</v>
      </c>
      <c r="W232" s="93">
        <f t="shared" si="88"/>
        <v>844.8599999999999</v>
      </c>
    </row>
    <row r="233" spans="1:39" ht="30" x14ac:dyDescent="0.25">
      <c r="A233" s="68" t="s">
        <v>50</v>
      </c>
      <c r="B233" s="6"/>
      <c r="C233" s="66"/>
      <c r="D233" s="66">
        <v>79</v>
      </c>
      <c r="E233" s="66">
        <f>SUM(D228/D233)</f>
        <v>3.7921518987341778</v>
      </c>
      <c r="G233" s="68" t="s">
        <v>50</v>
      </c>
      <c r="H233" s="6"/>
      <c r="I233" s="66"/>
      <c r="J233" s="66">
        <v>43</v>
      </c>
      <c r="K233" s="66">
        <f>SUM(J228/J233)</f>
        <v>5.1593023255813959</v>
      </c>
      <c r="L233" s="66"/>
      <c r="M233" s="68" t="s">
        <v>50</v>
      </c>
      <c r="N233" s="6"/>
      <c r="O233" s="66"/>
      <c r="P233" s="66">
        <v>52</v>
      </c>
      <c r="Q233" s="66">
        <f>SUM(P228/P233)</f>
        <v>3.7580769230769233</v>
      </c>
      <c r="R233" s="66"/>
      <c r="S233" s="68" t="s">
        <v>50</v>
      </c>
      <c r="T233" s="66"/>
      <c r="U233" s="66"/>
      <c r="V233" s="66">
        <v>52</v>
      </c>
      <c r="W233" s="66">
        <f>SUM(V228/V233)</f>
        <v>5.587884615384616</v>
      </c>
    </row>
    <row r="234" spans="1:39" x14ac:dyDescent="0.25">
      <c r="A234" s="72" t="s">
        <v>41</v>
      </c>
      <c r="B234" s="6"/>
      <c r="C234" s="8"/>
      <c r="D234" s="8"/>
      <c r="E234" s="8"/>
      <c r="G234" s="72" t="s">
        <v>41</v>
      </c>
      <c r="H234" s="6"/>
      <c r="I234" s="8"/>
      <c r="J234" s="8"/>
      <c r="K234" s="8"/>
      <c r="L234" s="8"/>
      <c r="M234" s="72" t="s">
        <v>41</v>
      </c>
      <c r="N234" s="6"/>
      <c r="O234" s="8"/>
      <c r="P234" s="8"/>
      <c r="Q234" s="8"/>
      <c r="R234" s="8"/>
      <c r="S234" s="72" t="s">
        <v>41</v>
      </c>
      <c r="T234" s="6"/>
      <c r="U234" s="8"/>
      <c r="V234" s="8"/>
      <c r="W234" s="8"/>
    </row>
    <row r="235" spans="1:39" x14ac:dyDescent="0.25">
      <c r="C235" s="12" t="e">
        <f>#REF!-#REF!</f>
        <v>#REF!</v>
      </c>
      <c r="D235" s="12" t="e">
        <f>#REF!-#REF!</f>
        <v>#REF!</v>
      </c>
      <c r="E235" s="12" t="e">
        <f>#REF!-#REF!</f>
        <v>#REF!</v>
      </c>
      <c r="I235" s="12" t="e">
        <f>#REF!-#REF!</f>
        <v>#REF!</v>
      </c>
      <c r="J235" s="12" t="e">
        <f>#REF!-#REF!</f>
        <v>#REF!</v>
      </c>
      <c r="K235" s="12" t="e">
        <f>#REF!-#REF!</f>
        <v>#REF!</v>
      </c>
      <c r="L235" s="12"/>
      <c r="O235" s="12" t="e">
        <f>#REF!-#REF!</f>
        <v>#REF!</v>
      </c>
      <c r="P235" s="12" t="e">
        <f>#REF!-#REF!</f>
        <v>#REF!</v>
      </c>
      <c r="Q235" s="12" t="e">
        <f>#REF!-#REF!</f>
        <v>#REF!</v>
      </c>
      <c r="R235" s="12"/>
      <c r="U235" s="12" t="e">
        <f>#REF!-#REF!</f>
        <v>#REF!</v>
      </c>
      <c r="V235" s="12" t="e">
        <f>#REF!-#REF!</f>
        <v>#REF!</v>
      </c>
      <c r="W235" s="12" t="e">
        <f>#REF!-#REF!</f>
        <v>#REF!</v>
      </c>
    </row>
    <row r="237" spans="1:39" ht="18.75" x14ac:dyDescent="0.3">
      <c r="A237" s="69" t="s">
        <v>767</v>
      </c>
      <c r="B237" s="4"/>
      <c r="C237" s="10"/>
      <c r="D237" s="10"/>
      <c r="E237" s="10"/>
      <c r="G237" s="69" t="s">
        <v>781</v>
      </c>
      <c r="H237" s="10"/>
      <c r="I237" s="10"/>
      <c r="J237" s="10"/>
      <c r="M237" s="69" t="s">
        <v>782</v>
      </c>
      <c r="S237" s="69" t="s">
        <v>864</v>
      </c>
      <c r="Y237" s="69" t="s">
        <v>865</v>
      </c>
    </row>
    <row r="238" spans="1:39" ht="45" x14ac:dyDescent="0.25">
      <c r="A238" s="70"/>
      <c r="B238" s="70"/>
      <c r="C238" s="71" t="s">
        <v>26</v>
      </c>
      <c r="D238" s="71" t="s">
        <v>27</v>
      </c>
      <c r="E238" s="71" t="s">
        <v>28</v>
      </c>
      <c r="G238" s="70"/>
      <c r="H238" s="70"/>
      <c r="I238" s="71" t="s">
        <v>26</v>
      </c>
      <c r="J238" s="71" t="s">
        <v>27</v>
      </c>
      <c r="K238" s="71" t="s">
        <v>28</v>
      </c>
      <c r="M238" s="70"/>
      <c r="N238" s="70"/>
      <c r="O238" s="71" t="s">
        <v>26</v>
      </c>
      <c r="P238" s="71" t="s">
        <v>27</v>
      </c>
      <c r="Q238" s="71" t="s">
        <v>28</v>
      </c>
      <c r="S238" s="70"/>
      <c r="T238" s="70"/>
      <c r="U238" s="71" t="s">
        <v>26</v>
      </c>
      <c r="V238" s="71" t="s">
        <v>27</v>
      </c>
      <c r="W238" s="71" t="s">
        <v>28</v>
      </c>
      <c r="Y238" s="70"/>
      <c r="Z238" s="70"/>
      <c r="AA238" s="71" t="s">
        <v>26</v>
      </c>
      <c r="AB238" s="71" t="s">
        <v>27</v>
      </c>
      <c r="AC238" s="71" t="s">
        <v>28</v>
      </c>
      <c r="AJ238" t="s">
        <v>679</v>
      </c>
    </row>
    <row r="239" spans="1:39" ht="45" x14ac:dyDescent="0.25">
      <c r="A239" s="90" t="s">
        <v>29</v>
      </c>
      <c r="B239" s="90"/>
      <c r="C239" s="91">
        <v>22</v>
      </c>
      <c r="D239" s="91">
        <v>54.71</v>
      </c>
      <c r="E239" s="91">
        <v>249.57</v>
      </c>
      <c r="G239" s="90" t="s">
        <v>29</v>
      </c>
      <c r="H239" s="90"/>
      <c r="I239" s="91">
        <v>24</v>
      </c>
      <c r="J239" s="91">
        <v>29.43</v>
      </c>
      <c r="K239" s="91">
        <v>255</v>
      </c>
      <c r="M239" s="90" t="s">
        <v>29</v>
      </c>
      <c r="N239" s="90"/>
      <c r="O239" s="91">
        <v>26</v>
      </c>
      <c r="P239" s="91">
        <v>13.71</v>
      </c>
      <c r="Q239" s="91">
        <v>242.86</v>
      </c>
      <c r="S239" s="90" t="s">
        <v>29</v>
      </c>
      <c r="T239" s="90"/>
      <c r="U239" s="91">
        <v>25</v>
      </c>
      <c r="V239" s="91">
        <v>21.86</v>
      </c>
      <c r="W239" s="91">
        <v>240.71</v>
      </c>
      <c r="Y239" s="90" t="s">
        <v>29</v>
      </c>
      <c r="Z239" s="90"/>
      <c r="AA239" s="91">
        <v>28</v>
      </c>
      <c r="AB239" s="91">
        <v>11.86</v>
      </c>
      <c r="AC239" s="91">
        <v>227</v>
      </c>
      <c r="AE239" t="s">
        <v>679</v>
      </c>
      <c r="AJ239" s="71" t="s">
        <v>685</v>
      </c>
      <c r="AK239" s="71" t="s">
        <v>26</v>
      </c>
      <c r="AL239" s="71" t="s">
        <v>27</v>
      </c>
      <c r="AM239" s="71" t="s">
        <v>28</v>
      </c>
    </row>
    <row r="240" spans="1:39" ht="30" x14ac:dyDescent="0.25">
      <c r="A240" s="90" t="s">
        <v>35</v>
      </c>
      <c r="B240" s="90"/>
      <c r="C240" s="91">
        <v>19</v>
      </c>
      <c r="D240" s="91">
        <v>37.86</v>
      </c>
      <c r="E240" s="91">
        <v>152.71</v>
      </c>
      <c r="G240" s="90" t="s">
        <v>35</v>
      </c>
      <c r="H240" s="90"/>
      <c r="I240" s="91">
        <v>17</v>
      </c>
      <c r="J240" s="91">
        <v>21</v>
      </c>
      <c r="K240" s="91">
        <v>156.43</v>
      </c>
      <c r="M240" s="90" t="s">
        <v>35</v>
      </c>
      <c r="N240" s="90"/>
      <c r="O240" s="91">
        <v>16</v>
      </c>
      <c r="P240" s="91">
        <v>37.71</v>
      </c>
      <c r="Q240" s="91">
        <v>177.86</v>
      </c>
      <c r="S240" s="90" t="s">
        <v>35</v>
      </c>
      <c r="T240" s="90"/>
      <c r="U240" s="91">
        <v>16</v>
      </c>
      <c r="V240" s="91">
        <v>37.86</v>
      </c>
      <c r="W240" s="91">
        <v>200.71</v>
      </c>
      <c r="Y240" s="90" t="s">
        <v>35</v>
      </c>
      <c r="Z240" s="90"/>
      <c r="AA240" s="91">
        <v>19</v>
      </c>
      <c r="AB240" s="91">
        <v>29</v>
      </c>
      <c r="AC240" s="91">
        <v>211.43</v>
      </c>
      <c r="AE240" s="124" t="s">
        <v>685</v>
      </c>
      <c r="AF240" s="71" t="s">
        <v>26</v>
      </c>
      <c r="AG240" s="71" t="s">
        <v>27</v>
      </c>
      <c r="AH240" s="71" t="s">
        <v>28</v>
      </c>
      <c r="AJ240" s="144" t="s">
        <v>29</v>
      </c>
      <c r="AK240" s="149">
        <v>25</v>
      </c>
      <c r="AL240" s="144">
        <v>26.314</v>
      </c>
      <c r="AM240" s="144">
        <v>243.02800000000002</v>
      </c>
    </row>
    <row r="241" spans="1:39" x14ac:dyDescent="0.25">
      <c r="A241" s="123" t="s">
        <v>30</v>
      </c>
      <c r="B241" s="90"/>
      <c r="C241" s="91">
        <v>9</v>
      </c>
      <c r="D241" s="91">
        <v>0</v>
      </c>
      <c r="E241" s="91">
        <v>27.14</v>
      </c>
      <c r="G241" s="123" t="s">
        <v>30</v>
      </c>
      <c r="H241" s="90"/>
      <c r="I241" s="91">
        <v>6</v>
      </c>
      <c r="J241" s="91">
        <v>0</v>
      </c>
      <c r="K241" s="91">
        <v>21.71</v>
      </c>
      <c r="M241" s="123" t="s">
        <v>30</v>
      </c>
      <c r="N241" s="90"/>
      <c r="O241" s="91">
        <v>4</v>
      </c>
      <c r="P241" s="91">
        <v>0</v>
      </c>
      <c r="Q241" s="91">
        <v>17.71</v>
      </c>
      <c r="S241" s="123" t="s">
        <v>30</v>
      </c>
      <c r="T241" s="90"/>
      <c r="U241" s="91">
        <v>4</v>
      </c>
      <c r="V241" s="91">
        <v>0</v>
      </c>
      <c r="W241" s="91">
        <v>13.71</v>
      </c>
      <c r="Y241" s="123" t="s">
        <v>30</v>
      </c>
      <c r="Z241" s="90"/>
      <c r="AA241" s="91">
        <v>4</v>
      </c>
      <c r="AB241" s="91">
        <v>12.14</v>
      </c>
      <c r="AC241" s="91">
        <v>22.57</v>
      </c>
      <c r="AE241" s="90" t="s">
        <v>29</v>
      </c>
      <c r="AF241" s="90">
        <f>AVERAGE(U239,O239,I239,C239,AA239)</f>
        <v>25</v>
      </c>
      <c r="AG241" s="90">
        <f>AVERAGE(V239,P239,J239,D239,AB239)</f>
        <v>26.314</v>
      </c>
      <c r="AH241" s="90">
        <f>AVERAGE(W239,Q239,K239,E239,AC239)</f>
        <v>243.02800000000002</v>
      </c>
      <c r="AJ241" s="144" t="s">
        <v>35</v>
      </c>
      <c r="AK241" s="144">
        <v>17.399999999999999</v>
      </c>
      <c r="AL241" s="144">
        <v>32.686</v>
      </c>
      <c r="AM241" s="144">
        <v>179.82800000000003</v>
      </c>
    </row>
    <row r="242" spans="1:39" x14ac:dyDescent="0.25">
      <c r="A242" s="90" t="s">
        <v>32</v>
      </c>
      <c r="B242" s="90"/>
      <c r="C242" s="91">
        <v>25</v>
      </c>
      <c r="D242" s="91">
        <v>4</v>
      </c>
      <c r="E242" s="91">
        <v>172</v>
      </c>
      <c r="G242" s="90" t="s">
        <v>32</v>
      </c>
      <c r="H242" s="90"/>
      <c r="I242" s="91">
        <v>28</v>
      </c>
      <c r="J242" s="91">
        <v>26.86</v>
      </c>
      <c r="K242" s="91">
        <v>170.86</v>
      </c>
      <c r="M242" s="90" t="s">
        <v>32</v>
      </c>
      <c r="N242" s="90"/>
      <c r="O242" s="91">
        <v>21</v>
      </c>
      <c r="P242" s="91">
        <v>25.29</v>
      </c>
      <c r="Q242" s="91">
        <v>172.57</v>
      </c>
      <c r="S242" s="90" t="s">
        <v>32</v>
      </c>
      <c r="T242" s="90"/>
      <c r="U242" s="91">
        <v>26</v>
      </c>
      <c r="V242" s="91">
        <v>37.43</v>
      </c>
      <c r="W242" s="91">
        <v>184.29</v>
      </c>
      <c r="Y242" s="90" t="s">
        <v>32</v>
      </c>
      <c r="Z242" s="90"/>
      <c r="AA242" s="91">
        <v>24</v>
      </c>
      <c r="AB242" s="91">
        <v>20.57</v>
      </c>
      <c r="AC242" s="91">
        <v>181.14</v>
      </c>
      <c r="AE242" s="90" t="s">
        <v>35</v>
      </c>
      <c r="AF242" s="90">
        <f t="shared" ref="AF242:AF255" si="89">AVERAGE(U240,O240,I240,C240,AA240)</f>
        <v>17.399999999999999</v>
      </c>
      <c r="AG242" s="90">
        <f t="shared" ref="AG242:AG254" si="90">AVERAGE(V240,P240,J240,D240,AB240)</f>
        <v>32.686</v>
      </c>
      <c r="AH242" s="90">
        <f t="shared" ref="AH242:AH254" si="91">AVERAGE(W240,Q240,K240,E240,AC240)</f>
        <v>179.82800000000003</v>
      </c>
      <c r="AJ242" s="144" t="s">
        <v>9</v>
      </c>
      <c r="AK242" s="144">
        <v>20.6</v>
      </c>
      <c r="AL242" s="144">
        <v>22.855999999999998</v>
      </c>
      <c r="AM242" s="144">
        <v>164.77199999999999</v>
      </c>
    </row>
    <row r="243" spans="1:39" x14ac:dyDescent="0.25">
      <c r="A243" s="123" t="s">
        <v>31</v>
      </c>
      <c r="B243" s="90"/>
      <c r="C243" s="91">
        <v>2</v>
      </c>
      <c r="D243" s="91"/>
      <c r="E243" s="91">
        <v>31.29</v>
      </c>
      <c r="G243" s="123" t="s">
        <v>31</v>
      </c>
      <c r="H243" s="90"/>
      <c r="I243" s="91">
        <v>2</v>
      </c>
      <c r="J243" s="91">
        <v>0</v>
      </c>
      <c r="K243" s="91">
        <v>29.29</v>
      </c>
      <c r="M243" s="123" t="s">
        <v>31</v>
      </c>
      <c r="N243" s="90"/>
      <c r="O243" s="91">
        <v>2</v>
      </c>
      <c r="P243" s="91">
        <v>0</v>
      </c>
      <c r="Q243" s="91">
        <v>27.29</v>
      </c>
      <c r="S243" s="123" t="s">
        <v>31</v>
      </c>
      <c r="T243" s="90"/>
      <c r="U243" s="91">
        <v>2</v>
      </c>
      <c r="V243" s="91">
        <v>0</v>
      </c>
      <c r="W243" s="91">
        <v>25.57</v>
      </c>
      <c r="Y243" s="123" t="s">
        <v>31</v>
      </c>
      <c r="Z243" s="90"/>
      <c r="AA243" s="91">
        <v>1</v>
      </c>
      <c r="AB243" s="91">
        <v>0</v>
      </c>
      <c r="AC243" s="91">
        <v>24.86</v>
      </c>
      <c r="AE243" s="90" t="s">
        <v>30</v>
      </c>
      <c r="AF243" s="90">
        <f t="shared" si="89"/>
        <v>5.4</v>
      </c>
      <c r="AG243" s="90">
        <f t="shared" si="90"/>
        <v>2.4279999999999999</v>
      </c>
      <c r="AH243" s="90">
        <f t="shared" si="91"/>
        <v>20.568000000000001</v>
      </c>
      <c r="AJ243" s="144" t="s">
        <v>11</v>
      </c>
      <c r="AK243" s="144">
        <v>26.2</v>
      </c>
      <c r="AL243" s="144">
        <v>29.457999999999998</v>
      </c>
      <c r="AM243" s="144">
        <v>230.96999999999997</v>
      </c>
    </row>
    <row r="244" spans="1:39" x14ac:dyDescent="0.25">
      <c r="A244" s="92" t="s">
        <v>481</v>
      </c>
      <c r="B244" s="92"/>
      <c r="C244" s="94">
        <v>13</v>
      </c>
      <c r="D244" s="94">
        <v>14</v>
      </c>
      <c r="E244" s="94">
        <v>108</v>
      </c>
      <c r="G244" s="92" t="s">
        <v>481</v>
      </c>
      <c r="H244" s="92"/>
      <c r="I244" s="94">
        <v>13</v>
      </c>
      <c r="J244" s="94">
        <v>7.14</v>
      </c>
      <c r="K244" s="94">
        <v>102.14</v>
      </c>
      <c r="M244" s="92" t="s">
        <v>481</v>
      </c>
      <c r="N244" s="92"/>
      <c r="O244" s="94">
        <v>15</v>
      </c>
      <c r="P244" s="94">
        <v>-2.57</v>
      </c>
      <c r="Q244" s="94">
        <v>85.29</v>
      </c>
      <c r="S244" s="92" t="s">
        <v>481</v>
      </c>
      <c r="T244" s="92"/>
      <c r="U244" s="94">
        <v>13</v>
      </c>
      <c r="V244" s="94">
        <v>25.43</v>
      </c>
      <c r="W244" s="94">
        <v>97.71</v>
      </c>
      <c r="Y244" s="92" t="s">
        <v>481</v>
      </c>
      <c r="Z244" s="92"/>
      <c r="AA244" s="94">
        <v>13</v>
      </c>
      <c r="AB244" s="94">
        <v>32.14</v>
      </c>
      <c r="AC244" s="94">
        <v>116</v>
      </c>
      <c r="AE244" s="90" t="s">
        <v>32</v>
      </c>
      <c r="AF244" s="90">
        <f t="shared" si="89"/>
        <v>24.8</v>
      </c>
      <c r="AG244" s="90">
        <f t="shared" si="90"/>
        <v>22.830000000000002</v>
      </c>
      <c r="AH244" s="90">
        <f t="shared" si="91"/>
        <v>176.172</v>
      </c>
      <c r="AJ244" s="144" t="s">
        <v>10</v>
      </c>
      <c r="AK244" s="144">
        <v>20.8</v>
      </c>
      <c r="AL244" s="144">
        <v>24.771999999999998</v>
      </c>
      <c r="AM244" s="144">
        <v>217.96999999999997</v>
      </c>
    </row>
    <row r="245" spans="1:39" x14ac:dyDescent="0.25">
      <c r="A245" s="92" t="s">
        <v>11</v>
      </c>
      <c r="B245" s="92"/>
      <c r="C245" s="94">
        <v>27</v>
      </c>
      <c r="D245" s="94">
        <v>13</v>
      </c>
      <c r="E245" s="94">
        <v>213.71</v>
      </c>
      <c r="G245" s="92" t="s">
        <v>11</v>
      </c>
      <c r="H245" s="92"/>
      <c r="I245" s="94">
        <v>27</v>
      </c>
      <c r="J245" s="94">
        <v>8.86</v>
      </c>
      <c r="K245" s="94">
        <v>195.57</v>
      </c>
      <c r="M245" s="92" t="s">
        <v>11</v>
      </c>
      <c r="N245" s="92"/>
      <c r="O245" s="94">
        <v>26</v>
      </c>
      <c r="P245" s="94">
        <v>81.569999999999993</v>
      </c>
      <c r="Q245" s="94">
        <v>251.57</v>
      </c>
      <c r="S245" s="92" t="s">
        <v>11</v>
      </c>
      <c r="T245" s="92"/>
      <c r="U245" s="94">
        <v>25</v>
      </c>
      <c r="V245" s="94">
        <v>22</v>
      </c>
      <c r="W245" s="94">
        <v>247.71</v>
      </c>
      <c r="Y245" s="92" t="s">
        <v>11</v>
      </c>
      <c r="Z245" s="92"/>
      <c r="AA245" s="94">
        <v>26</v>
      </c>
      <c r="AB245" s="94">
        <v>21.86</v>
      </c>
      <c r="AC245" s="94">
        <v>246.29</v>
      </c>
      <c r="AE245" s="90" t="s">
        <v>31</v>
      </c>
      <c r="AF245" s="90">
        <f t="shared" si="89"/>
        <v>1.8</v>
      </c>
      <c r="AG245" s="90">
        <f t="shared" si="90"/>
        <v>0</v>
      </c>
      <c r="AH245" s="90">
        <f t="shared" si="91"/>
        <v>27.660000000000004</v>
      </c>
      <c r="AJ245" s="145" t="s">
        <v>866</v>
      </c>
      <c r="AK245" s="145">
        <f>AVERAGE(AK240:AK244)</f>
        <v>22</v>
      </c>
      <c r="AL245" s="145">
        <f>AVERAGE(AL240:AL244)</f>
        <v>27.217199999999998</v>
      </c>
      <c r="AM245" s="145">
        <f>AVERAGE(AM240:AM244)</f>
        <v>207.31360000000001</v>
      </c>
    </row>
    <row r="246" spans="1:39" x14ac:dyDescent="0.25">
      <c r="A246" s="92" t="s">
        <v>36</v>
      </c>
      <c r="B246" s="92"/>
      <c r="C246" s="94">
        <v>18</v>
      </c>
      <c r="D246" s="94">
        <v>16.57</v>
      </c>
      <c r="E246" s="94">
        <v>181</v>
      </c>
      <c r="G246" s="92" t="s">
        <v>36</v>
      </c>
      <c r="H246" s="92"/>
      <c r="I246" s="94">
        <v>19</v>
      </c>
      <c r="J246" s="94">
        <v>0</v>
      </c>
      <c r="K246" s="94">
        <v>162.71</v>
      </c>
      <c r="M246" s="92" t="s">
        <v>36</v>
      </c>
      <c r="N246" s="92"/>
      <c r="O246" s="94">
        <v>20</v>
      </c>
      <c r="P246" s="94">
        <v>30.43</v>
      </c>
      <c r="Q246" s="94">
        <v>173.14</v>
      </c>
      <c r="S246" s="92" t="s">
        <v>36</v>
      </c>
      <c r="T246" s="92"/>
      <c r="U246" s="94">
        <v>20</v>
      </c>
      <c r="V246" s="94">
        <v>27.71</v>
      </c>
      <c r="W246" s="94">
        <v>180.71</v>
      </c>
      <c r="Y246" s="92" t="s">
        <v>36</v>
      </c>
      <c r="Z246" s="92"/>
      <c r="AA246" s="94">
        <v>23</v>
      </c>
      <c r="AB246" s="94">
        <v>14.57</v>
      </c>
      <c r="AC246" s="94">
        <v>172.71</v>
      </c>
      <c r="AE246" s="92" t="s">
        <v>690</v>
      </c>
      <c r="AF246" s="92">
        <f t="shared" si="89"/>
        <v>13.4</v>
      </c>
      <c r="AG246" s="92">
        <f t="shared" si="90"/>
        <v>15.228</v>
      </c>
      <c r="AH246" s="92">
        <f t="shared" si="91"/>
        <v>101.828</v>
      </c>
      <c r="AJ246" s="25" t="s">
        <v>36</v>
      </c>
      <c r="AK246" s="25">
        <v>20</v>
      </c>
      <c r="AL246" s="25">
        <v>17.856000000000002</v>
      </c>
      <c r="AM246" s="25">
        <v>174.05400000000003</v>
      </c>
    </row>
    <row r="247" spans="1:39" x14ac:dyDescent="0.25">
      <c r="A247" s="92" t="s">
        <v>48</v>
      </c>
      <c r="B247" s="92"/>
      <c r="C247" s="94">
        <v>20</v>
      </c>
      <c r="D247" s="94">
        <v>19.14</v>
      </c>
      <c r="E247" s="94">
        <v>191.86</v>
      </c>
      <c r="G247" s="92" t="s">
        <v>48</v>
      </c>
      <c r="H247" s="92"/>
      <c r="I247" s="94">
        <v>20</v>
      </c>
      <c r="J247" s="94">
        <v>28.43</v>
      </c>
      <c r="K247" s="94">
        <v>200.86</v>
      </c>
      <c r="M247" s="92" t="s">
        <v>48</v>
      </c>
      <c r="N247" s="92"/>
      <c r="O247" s="94">
        <v>21</v>
      </c>
      <c r="P247" s="94">
        <v>6.71</v>
      </c>
      <c r="Q247" s="94">
        <v>186.57</v>
      </c>
      <c r="S247" s="92" t="s">
        <v>48</v>
      </c>
      <c r="T247" s="92"/>
      <c r="U247" s="94">
        <v>24</v>
      </c>
      <c r="V247" s="94">
        <v>20.71</v>
      </c>
      <c r="W247" s="94">
        <v>184</v>
      </c>
      <c r="Y247" s="92" t="s">
        <v>48</v>
      </c>
      <c r="Z247" s="92"/>
      <c r="AA247" s="94">
        <v>20</v>
      </c>
      <c r="AB247" s="94">
        <v>36</v>
      </c>
      <c r="AC247" s="94">
        <v>200.71</v>
      </c>
      <c r="AE247" s="92" t="s">
        <v>11</v>
      </c>
      <c r="AF247" s="92">
        <f t="shared" si="89"/>
        <v>26.2</v>
      </c>
      <c r="AG247" s="92">
        <f t="shared" si="90"/>
        <v>29.457999999999998</v>
      </c>
      <c r="AH247" s="92">
        <f t="shared" si="91"/>
        <v>230.96999999999997</v>
      </c>
      <c r="AJ247" s="25" t="s">
        <v>37</v>
      </c>
      <c r="AK247" s="25">
        <v>18.399999999999999</v>
      </c>
      <c r="AL247" s="25">
        <v>16.655999999999999</v>
      </c>
      <c r="AM247" s="25">
        <v>139.54000000000002</v>
      </c>
    </row>
    <row r="248" spans="1:39" x14ac:dyDescent="0.25">
      <c r="A248" s="27" t="s">
        <v>37</v>
      </c>
      <c r="B248" s="27"/>
      <c r="C248" s="28">
        <v>17</v>
      </c>
      <c r="D248" s="28">
        <v>23.14</v>
      </c>
      <c r="E248" s="28">
        <v>148.43</v>
      </c>
      <c r="G248" s="27" t="s">
        <v>37</v>
      </c>
      <c r="H248" s="27"/>
      <c r="I248" s="28">
        <v>17</v>
      </c>
      <c r="J248" s="28">
        <v>11.14</v>
      </c>
      <c r="K248" s="28">
        <v>141.71</v>
      </c>
      <c r="M248" s="27" t="s">
        <v>37</v>
      </c>
      <c r="N248" s="27"/>
      <c r="O248" s="28">
        <v>19</v>
      </c>
      <c r="P248" s="28">
        <v>12.57</v>
      </c>
      <c r="Q248" s="28">
        <v>135.71</v>
      </c>
      <c r="S248" s="27" t="s">
        <v>37</v>
      </c>
      <c r="T248" s="27"/>
      <c r="U248" s="28">
        <v>18</v>
      </c>
      <c r="V248" s="28">
        <v>20.43</v>
      </c>
      <c r="W248" s="28">
        <v>137.13999999999999</v>
      </c>
      <c r="Y248" s="27" t="s">
        <v>37</v>
      </c>
      <c r="Z248" s="27"/>
      <c r="AA248" s="28">
        <v>21</v>
      </c>
      <c r="AB248" s="28">
        <v>16</v>
      </c>
      <c r="AC248" s="28">
        <v>134.71</v>
      </c>
      <c r="AE248" s="92" t="s">
        <v>36</v>
      </c>
      <c r="AF248" s="92">
        <f t="shared" si="89"/>
        <v>20</v>
      </c>
      <c r="AG248" s="92">
        <f t="shared" si="90"/>
        <v>17.856000000000002</v>
      </c>
      <c r="AH248" s="92">
        <f t="shared" si="91"/>
        <v>174.05400000000003</v>
      </c>
      <c r="AJ248" s="25" t="s">
        <v>12</v>
      </c>
      <c r="AK248" s="25">
        <v>26.6</v>
      </c>
      <c r="AL248" s="25">
        <v>29.314</v>
      </c>
      <c r="AM248" s="25">
        <v>196.286</v>
      </c>
    </row>
    <row r="249" spans="1:39" x14ac:dyDescent="0.25">
      <c r="A249" s="27" t="s">
        <v>9</v>
      </c>
      <c r="B249" s="27"/>
      <c r="C249" s="28">
        <v>22</v>
      </c>
      <c r="D249" s="28">
        <v>33.14</v>
      </c>
      <c r="E249" s="28">
        <v>160</v>
      </c>
      <c r="G249" s="27" t="s">
        <v>9</v>
      </c>
      <c r="H249" s="27"/>
      <c r="I249" s="28">
        <v>20</v>
      </c>
      <c r="J249" s="28">
        <v>9.2899999999999991</v>
      </c>
      <c r="K249" s="28">
        <v>150.43</v>
      </c>
      <c r="M249" s="27" t="s">
        <v>9</v>
      </c>
      <c r="N249" s="27"/>
      <c r="O249" s="28">
        <v>20</v>
      </c>
      <c r="P249" s="28">
        <v>42.71</v>
      </c>
      <c r="Q249" s="28">
        <v>173.57</v>
      </c>
      <c r="S249" s="27" t="s">
        <v>9</v>
      </c>
      <c r="T249" s="27"/>
      <c r="U249" s="28">
        <v>20</v>
      </c>
      <c r="V249" s="28">
        <v>23.14</v>
      </c>
      <c r="W249" s="28">
        <v>177</v>
      </c>
      <c r="Y249" s="27" t="s">
        <v>9</v>
      </c>
      <c r="Z249" s="27"/>
      <c r="AA249" s="28">
        <v>21</v>
      </c>
      <c r="AB249" s="28">
        <v>6</v>
      </c>
      <c r="AC249" s="28">
        <v>162.86000000000001</v>
      </c>
      <c r="AE249" s="92" t="s">
        <v>48</v>
      </c>
      <c r="AF249" s="92">
        <f t="shared" si="89"/>
        <v>21</v>
      </c>
      <c r="AG249" s="92">
        <f t="shared" si="90"/>
        <v>22.198</v>
      </c>
      <c r="AH249" s="92">
        <f t="shared" si="91"/>
        <v>192.8</v>
      </c>
      <c r="AJ249" s="25" t="s">
        <v>32</v>
      </c>
      <c r="AK249" s="25">
        <v>24.8</v>
      </c>
      <c r="AL249" s="25">
        <v>22.830000000000002</v>
      </c>
      <c r="AM249" s="25">
        <v>176.172</v>
      </c>
    </row>
    <row r="250" spans="1:39" x14ac:dyDescent="0.25">
      <c r="A250" s="27" t="s">
        <v>12</v>
      </c>
      <c r="B250" s="27"/>
      <c r="C250" s="28">
        <v>25</v>
      </c>
      <c r="D250" s="28">
        <v>26</v>
      </c>
      <c r="E250" s="28">
        <v>194.29</v>
      </c>
      <c r="G250" s="27" t="s">
        <v>12</v>
      </c>
      <c r="H250" s="27"/>
      <c r="I250" s="28">
        <v>28</v>
      </c>
      <c r="J250" s="28">
        <v>11</v>
      </c>
      <c r="K250" s="28">
        <v>179.29</v>
      </c>
      <c r="M250" s="27" t="s">
        <v>12</v>
      </c>
      <c r="N250" s="27"/>
      <c r="O250" s="28">
        <v>27</v>
      </c>
      <c r="P250" s="28">
        <v>37.86</v>
      </c>
      <c r="Q250" s="28">
        <v>190.43</v>
      </c>
      <c r="S250" s="27" t="s">
        <v>12</v>
      </c>
      <c r="T250" s="27"/>
      <c r="U250" s="28">
        <v>29</v>
      </c>
      <c r="V250" s="28">
        <v>46.71</v>
      </c>
      <c r="W250" s="28">
        <v>208.71</v>
      </c>
      <c r="Y250" s="27" t="s">
        <v>12</v>
      </c>
      <c r="Z250" s="27"/>
      <c r="AA250" s="28">
        <v>24</v>
      </c>
      <c r="AB250" s="28">
        <v>25</v>
      </c>
      <c r="AC250" s="28">
        <v>208.71</v>
      </c>
      <c r="AE250" s="27" t="s">
        <v>37</v>
      </c>
      <c r="AF250" s="27">
        <f t="shared" si="89"/>
        <v>18.399999999999999</v>
      </c>
      <c r="AG250" s="27">
        <f t="shared" si="90"/>
        <v>16.655999999999999</v>
      </c>
      <c r="AH250" s="27">
        <f>AVERAGE(W248,Q248,K248,E248,AC248)</f>
        <v>139.54000000000002</v>
      </c>
      <c r="AJ250" s="146" t="s">
        <v>867</v>
      </c>
      <c r="AK250" s="146">
        <f>AVERAGE(AK246:AK249)</f>
        <v>22.45</v>
      </c>
      <c r="AL250" s="146">
        <f>AVERAGE(AL246:AL249)</f>
        <v>21.664000000000001</v>
      </c>
      <c r="AM250" s="146">
        <f>AVERAGE(AM246:AM249)</f>
        <v>171.51300000000001</v>
      </c>
    </row>
    <row r="251" spans="1:39" x14ac:dyDescent="0.25">
      <c r="A251" s="27" t="s">
        <v>10</v>
      </c>
      <c r="B251" s="27"/>
      <c r="C251" s="28">
        <v>18</v>
      </c>
      <c r="D251" s="28">
        <v>22.29</v>
      </c>
      <c r="E251" s="28">
        <v>202.14</v>
      </c>
      <c r="G251" s="27" t="s">
        <v>10</v>
      </c>
      <c r="H251" s="27"/>
      <c r="I251" s="28">
        <v>21</v>
      </c>
      <c r="J251" s="28">
        <v>49.57</v>
      </c>
      <c r="K251" s="28">
        <v>230.29</v>
      </c>
      <c r="M251" s="27" t="s">
        <v>10</v>
      </c>
      <c r="N251" s="27"/>
      <c r="O251" s="28">
        <v>21</v>
      </c>
      <c r="P251" s="28">
        <v>18.71</v>
      </c>
      <c r="Q251" s="28">
        <v>227.71</v>
      </c>
      <c r="S251" s="27" t="s">
        <v>10</v>
      </c>
      <c r="T251" s="27"/>
      <c r="U251" s="28">
        <v>22</v>
      </c>
      <c r="V251" s="28">
        <v>9.2899999999999991</v>
      </c>
      <c r="W251" s="28">
        <v>214.14</v>
      </c>
      <c r="Y251" s="27" t="s">
        <v>10</v>
      </c>
      <c r="Z251" s="27"/>
      <c r="AA251" s="28">
        <v>22</v>
      </c>
      <c r="AB251" s="28">
        <v>24</v>
      </c>
      <c r="AC251" s="28">
        <v>215.57</v>
      </c>
      <c r="AE251" s="27" t="s">
        <v>9</v>
      </c>
      <c r="AF251" s="27">
        <f t="shared" si="89"/>
        <v>20.6</v>
      </c>
      <c r="AG251" s="27">
        <f t="shared" si="90"/>
        <v>22.855999999999998</v>
      </c>
      <c r="AH251" s="27">
        <f t="shared" si="91"/>
        <v>164.77199999999999</v>
      </c>
      <c r="AJ251" s="92" t="s">
        <v>690</v>
      </c>
      <c r="AK251" s="92">
        <v>13.4</v>
      </c>
      <c r="AL251" s="92">
        <v>15.228</v>
      </c>
      <c r="AM251" s="92">
        <v>101.828</v>
      </c>
    </row>
    <row r="252" spans="1:39" x14ac:dyDescent="0.25">
      <c r="A252" s="27" t="s">
        <v>672</v>
      </c>
      <c r="B252" s="27"/>
      <c r="C252" s="28">
        <v>21</v>
      </c>
      <c r="D252" s="28">
        <v>7.86</v>
      </c>
      <c r="E252" s="28">
        <v>161.86000000000001</v>
      </c>
      <c r="G252" s="27" t="s">
        <v>672</v>
      </c>
      <c r="H252" s="27"/>
      <c r="I252" s="28">
        <v>19</v>
      </c>
      <c r="J252" s="28">
        <v>24.29</v>
      </c>
      <c r="K252" s="28">
        <v>167.14</v>
      </c>
      <c r="M252" s="27" t="s">
        <v>672</v>
      </c>
      <c r="N252" s="27"/>
      <c r="O252" s="28">
        <v>20</v>
      </c>
      <c r="P252" s="28">
        <v>5.43</v>
      </c>
      <c r="Q252" s="28">
        <v>152.71</v>
      </c>
      <c r="S252" s="27" t="s">
        <v>672</v>
      </c>
      <c r="T252" s="27"/>
      <c r="U252" s="28">
        <v>18</v>
      </c>
      <c r="V252" s="28">
        <v>44</v>
      </c>
      <c r="W252" s="28">
        <v>179.86</v>
      </c>
      <c r="Y252" s="27" t="s">
        <v>672</v>
      </c>
      <c r="Z252" s="27"/>
      <c r="AA252" s="28">
        <v>16</v>
      </c>
      <c r="AB252" s="28">
        <v>-1.71</v>
      </c>
      <c r="AC252" s="28">
        <v>161.57</v>
      </c>
      <c r="AE252" s="27" t="s">
        <v>12</v>
      </c>
      <c r="AF252" s="27">
        <f t="shared" si="89"/>
        <v>26.6</v>
      </c>
      <c r="AG252" s="27">
        <f t="shared" si="90"/>
        <v>29.314</v>
      </c>
      <c r="AH252" s="27">
        <f t="shared" si="91"/>
        <v>196.286</v>
      </c>
      <c r="AJ252" s="92" t="s">
        <v>48</v>
      </c>
      <c r="AK252" s="92">
        <v>21</v>
      </c>
      <c r="AL252" s="92">
        <v>22.198</v>
      </c>
      <c r="AM252" s="92">
        <v>192.8</v>
      </c>
    </row>
    <row r="253" spans="1:39" x14ac:dyDescent="0.25">
      <c r="A253" s="2" t="s">
        <v>649</v>
      </c>
      <c r="B253" s="2"/>
      <c r="C253" s="28">
        <v>1</v>
      </c>
      <c r="D253" s="28"/>
      <c r="E253" s="28">
        <v>20.29</v>
      </c>
      <c r="G253" s="2" t="s">
        <v>649</v>
      </c>
      <c r="H253" s="2"/>
      <c r="I253" s="28">
        <v>1</v>
      </c>
      <c r="J253" s="28"/>
      <c r="K253" s="28">
        <v>19.29</v>
      </c>
      <c r="M253" s="2" t="s">
        <v>649</v>
      </c>
      <c r="N253" s="2"/>
      <c r="O253" s="28">
        <v>2</v>
      </c>
      <c r="P253" s="28"/>
      <c r="Q253" s="28">
        <v>17.71</v>
      </c>
      <c r="S253" s="2" t="s">
        <v>649</v>
      </c>
      <c r="T253" s="2"/>
      <c r="U253" s="28">
        <v>2</v>
      </c>
      <c r="V253" s="28"/>
      <c r="W253" s="28">
        <v>15.71</v>
      </c>
      <c r="Y253" s="2" t="s">
        <v>649</v>
      </c>
      <c r="Z253" s="2"/>
      <c r="AA253" s="28">
        <v>2</v>
      </c>
      <c r="AB253" s="28"/>
      <c r="AC253" s="28">
        <v>13.71</v>
      </c>
      <c r="AE253" s="27" t="s">
        <v>10</v>
      </c>
      <c r="AF253" s="27">
        <f t="shared" si="89"/>
        <v>20.8</v>
      </c>
      <c r="AG253" s="27">
        <f t="shared" si="90"/>
        <v>24.771999999999998</v>
      </c>
      <c r="AH253" s="27">
        <f t="shared" si="91"/>
        <v>217.96999999999997</v>
      </c>
      <c r="AJ253" s="92" t="s">
        <v>672</v>
      </c>
      <c r="AK253" s="92">
        <v>18.8</v>
      </c>
      <c r="AL253" s="92">
        <v>15.974</v>
      </c>
      <c r="AM253" s="92">
        <v>164.62800000000001</v>
      </c>
    </row>
    <row r="254" spans="1:39" x14ac:dyDescent="0.25">
      <c r="A254" s="72" t="s">
        <v>39</v>
      </c>
      <c r="B254" s="72"/>
      <c r="C254" s="8">
        <f>SUM(C237:C253)</f>
        <v>259</v>
      </c>
      <c r="D254" s="8">
        <f>SUM(D237:D253)</f>
        <v>271.70999999999998</v>
      </c>
      <c r="E254" s="8">
        <f>SUM(E237:E253)</f>
        <v>2214.2900000000004</v>
      </c>
      <c r="G254" s="72" t="s">
        <v>39</v>
      </c>
      <c r="H254" s="72"/>
      <c r="I254" s="8">
        <f>SUM(I237:I253)</f>
        <v>262</v>
      </c>
      <c r="J254" s="8">
        <f>SUM(J237:J253)</f>
        <v>227.01</v>
      </c>
      <c r="K254" s="8">
        <f>SUM(K237:K253)</f>
        <v>2182.7200000000003</v>
      </c>
      <c r="M254" s="72" t="s">
        <v>39</v>
      </c>
      <c r="N254" s="72"/>
      <c r="O254" s="8">
        <f>SUM(O237:O253)</f>
        <v>260</v>
      </c>
      <c r="P254" s="8">
        <f>SUM(P237:P253)</f>
        <v>310.13</v>
      </c>
      <c r="Q254" s="137">
        <f>SUM(Q237:Q253)</f>
        <v>2232.6999999999998</v>
      </c>
      <c r="S254" s="72" t="s">
        <v>39</v>
      </c>
      <c r="T254" s="72"/>
      <c r="U254" s="8">
        <f>SUM(U237:U253)</f>
        <v>264</v>
      </c>
      <c r="V254" s="8">
        <f>SUM(V237:V253)</f>
        <v>336.57000000000005</v>
      </c>
      <c r="W254" s="8">
        <f>SUM(W237:W253)</f>
        <v>2307.6800000000003</v>
      </c>
      <c r="Y254" s="72" t="s">
        <v>39</v>
      </c>
      <c r="Z254" s="72"/>
      <c r="AA254" s="8">
        <f>SUM(AA237:AA253)</f>
        <v>264</v>
      </c>
      <c r="AB254" s="8">
        <f>SUM(AB237:AB253)</f>
        <v>247.42999999999998</v>
      </c>
      <c r="AC254" s="8">
        <f>SUM(AC237:AC253)</f>
        <v>2299.8400000000006</v>
      </c>
      <c r="AE254" s="27" t="s">
        <v>672</v>
      </c>
      <c r="AF254" s="27">
        <f t="shared" si="89"/>
        <v>18.8</v>
      </c>
      <c r="AG254" s="27">
        <f t="shared" si="90"/>
        <v>15.974</v>
      </c>
      <c r="AH254" s="27">
        <f t="shared" si="91"/>
        <v>164.62800000000001</v>
      </c>
      <c r="AJ254" s="147" t="s">
        <v>868</v>
      </c>
      <c r="AK254" s="147">
        <f>AVERAGE(AK251:AK253)</f>
        <v>17.733333333333334</v>
      </c>
      <c r="AL254" s="147">
        <f t="shared" ref="AL254:AM254" si="92">AVERAGE(AL251:AL253)</f>
        <v>17.8</v>
      </c>
      <c r="AM254" s="147">
        <f t="shared" si="92"/>
        <v>153.08533333333335</v>
      </c>
    </row>
    <row r="255" spans="1:39" x14ac:dyDescent="0.25">
      <c r="A255" s="72"/>
      <c r="B255" s="72"/>
      <c r="C255" s="7"/>
      <c r="D255" s="7"/>
      <c r="E255" s="7"/>
      <c r="G255" s="72"/>
      <c r="H255" s="72"/>
      <c r="I255" s="7"/>
      <c r="J255" s="7"/>
      <c r="K255" s="7"/>
      <c r="M255" s="72"/>
      <c r="N255" s="72"/>
      <c r="O255" s="7"/>
      <c r="P255" s="7"/>
      <c r="Q255" s="7"/>
      <c r="S255" s="72"/>
      <c r="T255" s="72"/>
      <c r="U255" s="7"/>
      <c r="V255" s="7"/>
      <c r="W255" s="7"/>
      <c r="Y255" s="72"/>
      <c r="Z255" s="72"/>
      <c r="AA255" s="7"/>
      <c r="AB255" s="7"/>
      <c r="AC255" s="7"/>
      <c r="AE255" s="2" t="s">
        <v>649</v>
      </c>
      <c r="AF255" s="14">
        <f t="shared" si="89"/>
        <v>1.6</v>
      </c>
      <c r="AG255" s="14"/>
      <c r="AH255" s="14"/>
      <c r="AJ255" s="90" t="s">
        <v>30</v>
      </c>
      <c r="AK255" s="90">
        <v>5.4</v>
      </c>
      <c r="AL255" s="90">
        <v>2.4279999999999999</v>
      </c>
      <c r="AM255" s="90">
        <v>20.568000000000001</v>
      </c>
    </row>
    <row r="256" spans="1:39" x14ac:dyDescent="0.25">
      <c r="A256" s="72"/>
      <c r="B256" s="6" t="s">
        <v>477</v>
      </c>
      <c r="C256" s="131">
        <f>SUM(C239:C243)</f>
        <v>77</v>
      </c>
      <c r="D256" s="131">
        <f t="shared" ref="D256:E256" si="93">SUM(D239:D243)</f>
        <v>96.57</v>
      </c>
      <c r="E256" s="131">
        <f t="shared" si="93"/>
        <v>632.70999999999992</v>
      </c>
      <c r="G256" s="72"/>
      <c r="H256" s="6">
        <v>1</v>
      </c>
      <c r="I256" s="131">
        <f>SUM(I239:I243)</f>
        <v>77</v>
      </c>
      <c r="J256" s="131">
        <f t="shared" ref="J256:K256" si="94">SUM(J239:J243)</f>
        <v>77.289999999999992</v>
      </c>
      <c r="K256" s="131">
        <f t="shared" si="94"/>
        <v>633.29</v>
      </c>
      <c r="M256" s="72"/>
      <c r="N256" s="6">
        <v>1</v>
      </c>
      <c r="O256" s="95">
        <f>SUM(O239:O243)</f>
        <v>69</v>
      </c>
      <c r="P256" s="95">
        <f t="shared" ref="P256:Q256" si="95">SUM(P239:P243)</f>
        <v>76.710000000000008</v>
      </c>
      <c r="Q256" s="95">
        <f t="shared" si="95"/>
        <v>638.29</v>
      </c>
      <c r="S256" s="72"/>
      <c r="T256" s="6">
        <v>1</v>
      </c>
      <c r="U256" s="95">
        <f>SUM(U239:U243)</f>
        <v>73</v>
      </c>
      <c r="V256" s="95">
        <f t="shared" ref="V256:W256" si="96">SUM(V239:V243)</f>
        <v>97.15</v>
      </c>
      <c r="W256" s="95">
        <f t="shared" si="96"/>
        <v>664.99</v>
      </c>
      <c r="Y256" s="72"/>
      <c r="Z256" s="6">
        <v>1</v>
      </c>
      <c r="AA256" s="95">
        <f>SUM(AA239:AA243)</f>
        <v>76</v>
      </c>
      <c r="AB256" s="95">
        <f t="shared" ref="AB256:AC256" si="97">SUM(AB239:AB243)</f>
        <v>73.569999999999993</v>
      </c>
      <c r="AC256" s="95">
        <f t="shared" si="97"/>
        <v>667</v>
      </c>
      <c r="AE256" s="127" t="s">
        <v>896</v>
      </c>
      <c r="AF256" s="203">
        <f>AVERAGE(AF241:AF255)</f>
        <v>17.453333333333333</v>
      </c>
      <c r="AG256" s="203">
        <f>AVERAGE(AG241:AG255)</f>
        <v>19.897857142857141</v>
      </c>
      <c r="AH256" s="203">
        <f>AVERAGE(AH241:AH255)</f>
        <v>159.29314285714284</v>
      </c>
      <c r="AJ256" s="90" t="s">
        <v>31</v>
      </c>
      <c r="AK256" s="90">
        <v>1.8</v>
      </c>
      <c r="AL256" s="90">
        <v>0</v>
      </c>
      <c r="AM256" s="90">
        <v>27.660000000000004</v>
      </c>
    </row>
    <row r="257" spans="1:39" ht="30" x14ac:dyDescent="0.25">
      <c r="A257" s="68" t="s">
        <v>50</v>
      </c>
      <c r="B257" s="87" t="s">
        <v>478</v>
      </c>
      <c r="C257" s="131">
        <f>SUM(C244:C247)</f>
        <v>78</v>
      </c>
      <c r="D257" s="131">
        <f t="shared" ref="D257:E257" si="98">SUM(D244:D247)</f>
        <v>62.71</v>
      </c>
      <c r="E257" s="131">
        <f t="shared" si="98"/>
        <v>694.57</v>
      </c>
      <c r="G257" s="68" t="s">
        <v>50</v>
      </c>
      <c r="H257" s="87">
        <v>2</v>
      </c>
      <c r="I257" s="95">
        <f>SUM(I244:I247)</f>
        <v>79</v>
      </c>
      <c r="J257" s="95">
        <f t="shared" ref="J257:K257" si="99">SUM(J244:J247)</f>
        <v>44.43</v>
      </c>
      <c r="K257" s="95">
        <f t="shared" si="99"/>
        <v>661.28</v>
      </c>
      <c r="M257" s="68" t="s">
        <v>50</v>
      </c>
      <c r="N257" s="87">
        <v>2</v>
      </c>
      <c r="O257" s="95">
        <f>SUM(O244:O247)</f>
        <v>82</v>
      </c>
      <c r="P257" s="95">
        <f t="shared" ref="P257:Q257" si="100">SUM(P244:P247)</f>
        <v>116.14</v>
      </c>
      <c r="Q257" s="95">
        <f t="shared" si="100"/>
        <v>696.56999999999994</v>
      </c>
      <c r="S257" s="68" t="s">
        <v>50</v>
      </c>
      <c r="T257" s="87">
        <v>2</v>
      </c>
      <c r="U257" s="95">
        <f>SUM(U244:U247)</f>
        <v>82</v>
      </c>
      <c r="V257" s="95">
        <f t="shared" ref="V257:W257" si="101">SUM(V244:V247)</f>
        <v>95.85</v>
      </c>
      <c r="W257" s="95">
        <f t="shared" si="101"/>
        <v>710.13</v>
      </c>
      <c r="Y257" s="68" t="s">
        <v>50</v>
      </c>
      <c r="Z257" s="87">
        <v>2</v>
      </c>
      <c r="AA257" s="95">
        <f>SUM(AA244:AA247)</f>
        <v>82</v>
      </c>
      <c r="AB257" s="93">
        <f t="shared" ref="AB257:AC257" si="102">SUM(AB244:AB247)</f>
        <v>104.57</v>
      </c>
      <c r="AC257" s="95">
        <f t="shared" si="102"/>
        <v>735.71</v>
      </c>
    </row>
    <row r="258" spans="1:39" x14ac:dyDescent="0.25">
      <c r="A258" s="72"/>
      <c r="B258" s="6" t="s">
        <v>479</v>
      </c>
      <c r="C258" s="93">
        <f>SUM(C248:C252)</f>
        <v>103</v>
      </c>
      <c r="D258" s="93">
        <f t="shared" ref="D258:E258" si="103">SUM(D248:D252)</f>
        <v>112.42999999999999</v>
      </c>
      <c r="E258" s="93">
        <f t="shared" si="103"/>
        <v>866.72</v>
      </c>
      <c r="G258" s="72"/>
      <c r="H258" s="6">
        <v>3</v>
      </c>
      <c r="I258" s="93">
        <f>SUM(I248:I252)</f>
        <v>105</v>
      </c>
      <c r="J258" s="93">
        <f t="shared" ref="J258:K258" si="104">SUM(J248:J252)</f>
        <v>105.28999999999999</v>
      </c>
      <c r="K258" s="93">
        <f t="shared" si="104"/>
        <v>868.8599999999999</v>
      </c>
      <c r="M258" s="72"/>
      <c r="N258" s="6">
        <v>3</v>
      </c>
      <c r="O258" s="93">
        <f>SUM(O248:O252)</f>
        <v>107</v>
      </c>
      <c r="P258" s="93">
        <f t="shared" ref="P258:Q258" si="105">SUM(P248:P252)</f>
        <v>117.28</v>
      </c>
      <c r="Q258" s="93">
        <f t="shared" si="105"/>
        <v>880.13</v>
      </c>
      <c r="S258" s="72"/>
      <c r="T258" s="6">
        <v>3</v>
      </c>
      <c r="U258" s="93">
        <f>SUM(U248:U252)</f>
        <v>107</v>
      </c>
      <c r="V258" s="93">
        <f t="shared" ref="V258:W258" si="106">SUM(V248:V252)</f>
        <v>143.57</v>
      </c>
      <c r="W258" s="93">
        <f t="shared" si="106"/>
        <v>916.85</v>
      </c>
      <c r="Y258" s="72"/>
      <c r="Z258" s="6">
        <v>3</v>
      </c>
      <c r="AA258" s="93">
        <f>SUM(AA248:AA252)</f>
        <v>104</v>
      </c>
      <c r="AB258" s="95">
        <f t="shared" ref="AB258:AC258" si="107">SUM(AB248:AB252)</f>
        <v>69.290000000000006</v>
      </c>
      <c r="AC258" s="93">
        <f t="shared" si="107"/>
        <v>883.42000000000007</v>
      </c>
    </row>
    <row r="259" spans="1:39" ht="30" x14ac:dyDescent="0.25">
      <c r="A259" s="68" t="s">
        <v>50</v>
      </c>
      <c r="B259" s="6"/>
      <c r="C259" s="66"/>
      <c r="D259" s="66">
        <v>69</v>
      </c>
      <c r="E259" s="66">
        <f>SUM(D254/D259)</f>
        <v>3.9378260869565214</v>
      </c>
      <c r="G259" s="68" t="s">
        <v>50</v>
      </c>
      <c r="H259" s="6"/>
      <c r="I259" s="66"/>
      <c r="J259" s="66">
        <v>52</v>
      </c>
      <c r="K259" s="66">
        <f>SUM(J254/J259)</f>
        <v>4.3655769230769232</v>
      </c>
      <c r="L259" s="66"/>
      <c r="M259" s="68" t="s">
        <v>50</v>
      </c>
      <c r="N259" s="6"/>
      <c r="O259" s="66"/>
      <c r="P259" s="66">
        <v>38</v>
      </c>
      <c r="Q259" s="66">
        <f>SUM(P254/P259)</f>
        <v>8.1613157894736847</v>
      </c>
      <c r="R259" s="66"/>
      <c r="S259" s="68" t="s">
        <v>50</v>
      </c>
      <c r="T259" s="66"/>
      <c r="U259" s="66"/>
      <c r="V259" s="66">
        <v>36</v>
      </c>
      <c r="W259" s="66">
        <f>SUM(V254/V259)</f>
        <v>9.3491666666666688</v>
      </c>
      <c r="Y259" s="68" t="s">
        <v>50</v>
      </c>
      <c r="Z259" s="66"/>
      <c r="AA259" s="66"/>
      <c r="AB259" s="66">
        <v>64</v>
      </c>
      <c r="AC259" s="66">
        <f>SUM(AB254/AB259)</f>
        <v>3.8660937499999997</v>
      </c>
    </row>
    <row r="260" spans="1:39" x14ac:dyDescent="0.25">
      <c r="A260" s="72" t="s">
        <v>41</v>
      </c>
      <c r="B260" s="6"/>
      <c r="C260" s="8"/>
      <c r="D260" s="8"/>
      <c r="E260" s="8"/>
      <c r="G260" s="72" t="s">
        <v>41</v>
      </c>
      <c r="H260" s="6"/>
      <c r="I260" s="8"/>
      <c r="J260" s="8"/>
      <c r="K260" s="8"/>
      <c r="L260" s="8"/>
      <c r="M260" s="72" t="s">
        <v>41</v>
      </c>
      <c r="N260" s="6"/>
      <c r="O260" s="8"/>
      <c r="P260" s="8"/>
      <c r="Q260" s="8"/>
      <c r="R260" s="8"/>
      <c r="S260" s="72" t="s">
        <v>41</v>
      </c>
      <c r="T260" s="6"/>
      <c r="U260" s="8"/>
      <c r="V260" s="8"/>
      <c r="W260" s="8"/>
      <c r="Y260" s="72" t="s">
        <v>41</v>
      </c>
      <c r="Z260" s="6"/>
      <c r="AA260" s="8"/>
      <c r="AB260" s="8"/>
      <c r="AC260" s="8"/>
    </row>
    <row r="261" spans="1:39" x14ac:dyDescent="0.25">
      <c r="C261" s="12" t="e">
        <f>#REF!-#REF!</f>
        <v>#REF!</v>
      </c>
      <c r="D261" s="12" t="e">
        <f>#REF!-#REF!</f>
        <v>#REF!</v>
      </c>
      <c r="E261" s="12" t="e">
        <f>#REF!-#REF!</f>
        <v>#REF!</v>
      </c>
      <c r="I261" s="12" t="e">
        <f>#REF!-#REF!</f>
        <v>#REF!</v>
      </c>
      <c r="J261" s="12" t="e">
        <f>#REF!-#REF!</f>
        <v>#REF!</v>
      </c>
      <c r="K261" s="12" t="e">
        <f>#REF!-#REF!</f>
        <v>#REF!</v>
      </c>
      <c r="L261" s="12"/>
      <c r="O261" s="12" t="e">
        <f>#REF!-#REF!</f>
        <v>#REF!</v>
      </c>
      <c r="P261" s="12" t="e">
        <f>#REF!-#REF!</f>
        <v>#REF!</v>
      </c>
      <c r="Q261" s="12" t="e">
        <f>#REF!-#REF!</f>
        <v>#REF!</v>
      </c>
      <c r="R261" s="12"/>
      <c r="U261" s="12" t="e">
        <f>#REF!-#REF!</f>
        <v>#REF!</v>
      </c>
      <c r="V261" s="12" t="e">
        <f>#REF!-#REF!</f>
        <v>#REF!</v>
      </c>
      <c r="W261" s="12" t="e">
        <f>#REF!-#REF!</f>
        <v>#REF!</v>
      </c>
      <c r="AA261" s="12" t="e">
        <f>#REF!-#REF!</f>
        <v>#REF!</v>
      </c>
      <c r="AB261" s="12" t="e">
        <f>#REF!-#REF!</f>
        <v>#REF!</v>
      </c>
      <c r="AC261" s="12" t="e">
        <f>#REF!-#REF!</f>
        <v>#REF!</v>
      </c>
    </row>
    <row r="263" spans="1:39" ht="18.75" x14ac:dyDescent="0.3">
      <c r="A263" s="69" t="s">
        <v>932</v>
      </c>
      <c r="B263" s="4"/>
      <c r="C263" s="10"/>
      <c r="D263" s="10"/>
      <c r="E263" s="10"/>
      <c r="G263" s="69" t="s">
        <v>1019</v>
      </c>
      <c r="H263" s="10"/>
      <c r="I263" s="10"/>
      <c r="J263" s="10"/>
      <c r="M263" s="69" t="s">
        <v>1020</v>
      </c>
      <c r="S263" s="69" t="s">
        <v>1021</v>
      </c>
      <c r="Y263" s="69"/>
    </row>
    <row r="264" spans="1:39" ht="45" x14ac:dyDescent="0.25">
      <c r="A264" s="70"/>
      <c r="B264" s="70"/>
      <c r="C264" s="71" t="s">
        <v>26</v>
      </c>
      <c r="D264" s="71" t="s">
        <v>27</v>
      </c>
      <c r="E264" s="71" t="s">
        <v>28</v>
      </c>
      <c r="G264" s="70"/>
      <c r="H264" s="70"/>
      <c r="I264" s="71" t="s">
        <v>26</v>
      </c>
      <c r="J264" s="71" t="s">
        <v>27</v>
      </c>
      <c r="K264" s="71" t="s">
        <v>28</v>
      </c>
      <c r="M264" s="70"/>
      <c r="N264" s="70"/>
      <c r="O264" s="71" t="s">
        <v>26</v>
      </c>
      <c r="P264" s="71" t="s">
        <v>27</v>
      </c>
      <c r="Q264" s="71" t="s">
        <v>28</v>
      </c>
      <c r="S264" s="70"/>
      <c r="T264" s="70"/>
      <c r="U264" s="71" t="s">
        <v>26</v>
      </c>
      <c r="V264" s="71" t="s">
        <v>27</v>
      </c>
      <c r="W264" s="71" t="s">
        <v>28</v>
      </c>
      <c r="Y264" s="70"/>
      <c r="Z264" s="70"/>
      <c r="AA264" s="71"/>
      <c r="AB264" s="71"/>
      <c r="AC264" s="71"/>
      <c r="AJ264" t="s">
        <v>847</v>
      </c>
    </row>
    <row r="265" spans="1:39" ht="45" x14ac:dyDescent="0.25">
      <c r="A265" s="90" t="s">
        <v>29</v>
      </c>
      <c r="B265" s="90"/>
      <c r="C265" s="91">
        <v>24</v>
      </c>
      <c r="D265" s="91">
        <v>21</v>
      </c>
      <c r="E265" s="91">
        <v>224</v>
      </c>
      <c r="G265" s="90" t="s">
        <v>29</v>
      </c>
      <c r="H265" s="90"/>
      <c r="I265" s="91">
        <v>23</v>
      </c>
      <c r="J265" s="91">
        <v>14.29</v>
      </c>
      <c r="K265" s="91">
        <v>214.57</v>
      </c>
      <c r="M265" s="90" t="s">
        <v>29</v>
      </c>
      <c r="N265" s="90"/>
      <c r="O265" s="91">
        <v>24</v>
      </c>
      <c r="P265" s="91">
        <v>3.43</v>
      </c>
      <c r="Q265" s="91">
        <v>193.29</v>
      </c>
      <c r="S265" s="90" t="s">
        <v>29</v>
      </c>
      <c r="T265" s="90"/>
      <c r="U265" s="91">
        <v>24</v>
      </c>
      <c r="V265" s="91">
        <v>31</v>
      </c>
      <c r="W265" s="91">
        <v>200.71</v>
      </c>
      <c r="Y265" s="90"/>
      <c r="Z265" s="90"/>
      <c r="AA265" s="91"/>
      <c r="AB265" s="91"/>
      <c r="AC265" s="91"/>
      <c r="AE265" t="s">
        <v>847</v>
      </c>
      <c r="AJ265" s="71" t="s">
        <v>685</v>
      </c>
      <c r="AK265" s="71" t="s">
        <v>26</v>
      </c>
      <c r="AL265" s="71" t="s">
        <v>27</v>
      </c>
      <c r="AM265" s="71" t="s">
        <v>28</v>
      </c>
    </row>
    <row r="266" spans="1:39" ht="30" x14ac:dyDescent="0.25">
      <c r="A266" s="90" t="s">
        <v>35</v>
      </c>
      <c r="B266" s="90"/>
      <c r="C266" s="91">
        <v>19</v>
      </c>
      <c r="D266" s="91">
        <v>24.57</v>
      </c>
      <c r="E266" s="91">
        <v>218</v>
      </c>
      <c r="G266" s="90" t="s">
        <v>35</v>
      </c>
      <c r="H266" s="90"/>
      <c r="I266" s="91">
        <v>19</v>
      </c>
      <c r="J266" s="91">
        <v>40.86</v>
      </c>
      <c r="K266" s="91">
        <v>241.57</v>
      </c>
      <c r="M266" s="90" t="s">
        <v>35</v>
      </c>
      <c r="N266" s="90"/>
      <c r="O266" s="91">
        <v>18</v>
      </c>
      <c r="P266" s="91">
        <v>6.29</v>
      </c>
      <c r="Q266" s="91">
        <v>230.43</v>
      </c>
      <c r="S266" s="90" t="s">
        <v>35</v>
      </c>
      <c r="T266" s="90"/>
      <c r="U266" s="91">
        <v>24</v>
      </c>
      <c r="V266" s="91">
        <v>17.57</v>
      </c>
      <c r="W266" s="91">
        <v>225.29</v>
      </c>
      <c r="Y266" s="90"/>
      <c r="Z266" s="90"/>
      <c r="AA266" s="91"/>
      <c r="AB266" s="91"/>
      <c r="AC266" s="91"/>
      <c r="AE266" s="71" t="s">
        <v>685</v>
      </c>
      <c r="AF266" s="71" t="s">
        <v>26</v>
      </c>
      <c r="AG266" s="71" t="s">
        <v>27</v>
      </c>
      <c r="AH266" s="71" t="s">
        <v>28</v>
      </c>
      <c r="AJ266" s="144" t="s">
        <v>29</v>
      </c>
      <c r="AK266" s="149">
        <v>25</v>
      </c>
      <c r="AL266" s="144">
        <v>26.314</v>
      </c>
      <c r="AM266" s="144">
        <v>243.02800000000002</v>
      </c>
    </row>
    <row r="267" spans="1:39" x14ac:dyDescent="0.25">
      <c r="A267" s="123" t="s">
        <v>30</v>
      </c>
      <c r="B267" s="90"/>
      <c r="C267" s="91">
        <v>3</v>
      </c>
      <c r="D267" s="91">
        <v>0</v>
      </c>
      <c r="E267" s="91">
        <v>19.43</v>
      </c>
      <c r="G267" s="123" t="s">
        <v>30</v>
      </c>
      <c r="H267" s="90"/>
      <c r="I267" s="91">
        <v>3</v>
      </c>
      <c r="J267" s="91">
        <v>0</v>
      </c>
      <c r="K267" s="91">
        <v>17.43</v>
      </c>
      <c r="M267" s="123" t="s">
        <v>30</v>
      </c>
      <c r="N267" s="90"/>
      <c r="O267" s="91">
        <v>1</v>
      </c>
      <c r="P267" s="91">
        <v>0</v>
      </c>
      <c r="Q267" s="91">
        <v>4.29</v>
      </c>
      <c r="S267" s="123" t="s">
        <v>30</v>
      </c>
      <c r="T267" s="90"/>
      <c r="U267" s="91">
        <v>1</v>
      </c>
      <c r="V267" s="91">
        <v>0</v>
      </c>
      <c r="W267" s="91">
        <v>3.29</v>
      </c>
      <c r="Y267" s="123"/>
      <c r="Z267" s="90"/>
      <c r="AA267" s="91"/>
      <c r="AB267" s="91"/>
      <c r="AC267" s="91"/>
      <c r="AE267" s="90" t="s">
        <v>29</v>
      </c>
      <c r="AF267" s="201">
        <f t="shared" ref="AF267:AF280" si="108">AVERAGE(U265,O265,I265,C265)</f>
        <v>23.75</v>
      </c>
      <c r="AG267" s="201">
        <f t="shared" ref="AG267:AG280" si="109">AVERAGE(V265,P265,J265,D265,AB265)</f>
        <v>17.43</v>
      </c>
      <c r="AH267" s="201">
        <f t="shared" ref="AH267:AH280" si="110">AVERAGE(W265,Q265,K265,E265,AC265)</f>
        <v>208.14249999999998</v>
      </c>
      <c r="AJ267" s="144" t="s">
        <v>35</v>
      </c>
      <c r="AK267" s="144">
        <v>17.399999999999999</v>
      </c>
      <c r="AL267" s="144">
        <v>32.686</v>
      </c>
      <c r="AM267" s="144">
        <v>179.82800000000003</v>
      </c>
    </row>
    <row r="268" spans="1:39" x14ac:dyDescent="0.25">
      <c r="A268" s="90" t="s">
        <v>32</v>
      </c>
      <c r="B268" s="90"/>
      <c r="C268" s="91">
        <v>24</v>
      </c>
      <c r="D268" s="91">
        <v>30.57</v>
      </c>
      <c r="E268" s="91">
        <v>189.29</v>
      </c>
      <c r="G268" s="90" t="s">
        <v>32</v>
      </c>
      <c r="H268" s="90"/>
      <c r="I268" s="91">
        <v>24</v>
      </c>
      <c r="J268" s="91">
        <v>29.71</v>
      </c>
      <c r="K268" s="91">
        <v>195.43</v>
      </c>
      <c r="M268" s="90" t="s">
        <v>32</v>
      </c>
      <c r="N268" s="90"/>
      <c r="O268" s="91">
        <v>21</v>
      </c>
      <c r="P268" s="91">
        <v>27.43</v>
      </c>
      <c r="Q268" s="91">
        <v>201.29</v>
      </c>
      <c r="S268" s="90" t="s">
        <v>32</v>
      </c>
      <c r="T268" s="90"/>
      <c r="U268" s="91">
        <v>21</v>
      </c>
      <c r="V268" s="91">
        <v>11.86</v>
      </c>
      <c r="W268" s="91">
        <v>193.57</v>
      </c>
      <c r="Y268" s="90"/>
      <c r="Z268" s="90"/>
      <c r="AA268" s="91"/>
      <c r="AB268" s="91"/>
      <c r="AC268" s="91"/>
      <c r="AE268" s="90" t="s">
        <v>35</v>
      </c>
      <c r="AF268" s="201">
        <f t="shared" si="108"/>
        <v>20</v>
      </c>
      <c r="AG268" s="201">
        <f t="shared" si="109"/>
        <v>22.322499999999998</v>
      </c>
      <c r="AH268" s="201">
        <f t="shared" si="110"/>
        <v>228.82249999999999</v>
      </c>
      <c r="AJ268" s="144" t="s">
        <v>9</v>
      </c>
      <c r="AK268" s="144">
        <v>20.6</v>
      </c>
      <c r="AL268" s="144">
        <v>22.855999999999998</v>
      </c>
      <c r="AM268" s="144">
        <v>164.77199999999999</v>
      </c>
    </row>
    <row r="269" spans="1:39" x14ac:dyDescent="0.25">
      <c r="A269" s="123" t="s">
        <v>31</v>
      </c>
      <c r="B269" s="90"/>
      <c r="C269" s="91">
        <v>1</v>
      </c>
      <c r="D269" s="91">
        <v>0</v>
      </c>
      <c r="E269" s="91">
        <v>23.86</v>
      </c>
      <c r="G269" s="123" t="s">
        <v>31</v>
      </c>
      <c r="H269" s="90"/>
      <c r="I269" s="91">
        <v>1</v>
      </c>
      <c r="J269" s="91">
        <v>0</v>
      </c>
      <c r="K269" s="91">
        <v>22.86</v>
      </c>
      <c r="M269" s="123" t="s">
        <v>31</v>
      </c>
      <c r="N269" s="90"/>
      <c r="O269" s="91">
        <v>2</v>
      </c>
      <c r="P269" s="91">
        <v>0</v>
      </c>
      <c r="Q269" s="91">
        <v>21.43</v>
      </c>
      <c r="S269" s="123" t="s">
        <v>31</v>
      </c>
      <c r="T269" s="90"/>
      <c r="U269" s="91">
        <v>2</v>
      </c>
      <c r="V269" s="91">
        <v>0</v>
      </c>
      <c r="W269" s="91">
        <v>19.43</v>
      </c>
      <c r="Y269" s="123"/>
      <c r="Z269" s="90"/>
      <c r="AA269" s="91"/>
      <c r="AB269" s="91"/>
      <c r="AC269" s="91"/>
      <c r="AE269" s="90" t="s">
        <v>30</v>
      </c>
      <c r="AF269" s="201">
        <f t="shared" si="108"/>
        <v>2</v>
      </c>
      <c r="AG269" s="201">
        <f t="shared" si="109"/>
        <v>0</v>
      </c>
      <c r="AH269" s="201">
        <f t="shared" si="110"/>
        <v>11.11</v>
      </c>
      <c r="AJ269" s="144" t="s">
        <v>11</v>
      </c>
      <c r="AK269" s="144">
        <v>26.2</v>
      </c>
      <c r="AL269" s="144">
        <v>29.457999999999998</v>
      </c>
      <c r="AM269" s="144">
        <v>230.96999999999997</v>
      </c>
    </row>
    <row r="270" spans="1:39" x14ac:dyDescent="0.25">
      <c r="A270" s="92" t="s">
        <v>481</v>
      </c>
      <c r="B270" s="92"/>
      <c r="C270" s="94">
        <v>16</v>
      </c>
      <c r="D270" s="94">
        <v>16.43</v>
      </c>
      <c r="E270" s="94">
        <v>117</v>
      </c>
      <c r="G270" s="92" t="s">
        <v>481</v>
      </c>
      <c r="H270" s="92"/>
      <c r="I270" s="94">
        <v>16</v>
      </c>
      <c r="J270" s="94">
        <v>9.86</v>
      </c>
      <c r="K270" s="94">
        <v>111</v>
      </c>
      <c r="M270" s="92" t="s">
        <v>481</v>
      </c>
      <c r="N270" s="92"/>
      <c r="O270" s="94">
        <v>17</v>
      </c>
      <c r="P270" s="94">
        <v>19.86</v>
      </c>
      <c r="Q270" s="94">
        <v>114.14</v>
      </c>
      <c r="S270" s="92" t="s">
        <v>481</v>
      </c>
      <c r="T270" s="92"/>
      <c r="U270" s="94">
        <v>18</v>
      </c>
      <c r="V270" s="94">
        <v>-0.28999999999999998</v>
      </c>
      <c r="W270" s="94">
        <v>96.57</v>
      </c>
      <c r="Y270" s="92"/>
      <c r="Z270" s="92"/>
      <c r="AA270" s="94"/>
      <c r="AB270" s="94"/>
      <c r="AC270" s="94"/>
      <c r="AE270" s="90" t="s">
        <v>32</v>
      </c>
      <c r="AF270" s="201">
        <f t="shared" si="108"/>
        <v>22.5</v>
      </c>
      <c r="AG270" s="201">
        <f t="shared" si="109"/>
        <v>24.892499999999998</v>
      </c>
      <c r="AH270" s="201">
        <f t="shared" si="110"/>
        <v>194.89499999999998</v>
      </c>
      <c r="AJ270" s="144" t="s">
        <v>10</v>
      </c>
      <c r="AK270" s="144">
        <v>20.8</v>
      </c>
      <c r="AL270" s="144">
        <v>24.771999999999998</v>
      </c>
      <c r="AM270" s="144">
        <v>217.96999999999997</v>
      </c>
    </row>
    <row r="271" spans="1:39" x14ac:dyDescent="0.25">
      <c r="A271" s="92" t="s">
        <v>11</v>
      </c>
      <c r="B271" s="92"/>
      <c r="C271" s="94">
        <v>28</v>
      </c>
      <c r="D271" s="94">
        <v>-2.57</v>
      </c>
      <c r="E271" s="94">
        <v>215.86</v>
      </c>
      <c r="G271" s="92" t="s">
        <v>11</v>
      </c>
      <c r="H271" s="92"/>
      <c r="I271" s="94">
        <v>30</v>
      </c>
      <c r="J271" s="94">
        <v>21.14</v>
      </c>
      <c r="K271" s="94">
        <v>208.14</v>
      </c>
      <c r="M271" s="92" t="s">
        <v>11</v>
      </c>
      <c r="N271" s="92"/>
      <c r="O271" s="94">
        <v>31</v>
      </c>
      <c r="P271" s="94">
        <v>35.14</v>
      </c>
      <c r="Q271" s="94">
        <v>213.14</v>
      </c>
      <c r="S271" s="92" t="s">
        <v>11</v>
      </c>
      <c r="T271" s="92"/>
      <c r="U271" s="94">
        <v>28</v>
      </c>
      <c r="V271" s="94">
        <v>47.86</v>
      </c>
      <c r="W271" s="94">
        <v>234</v>
      </c>
      <c r="Y271" s="92"/>
      <c r="Z271" s="92"/>
      <c r="AA271" s="94"/>
      <c r="AB271" s="94"/>
      <c r="AC271" s="94"/>
      <c r="AE271" s="90" t="s">
        <v>31</v>
      </c>
      <c r="AF271" s="201">
        <f t="shared" si="108"/>
        <v>1.5</v>
      </c>
      <c r="AG271" s="201">
        <f t="shared" si="109"/>
        <v>0</v>
      </c>
      <c r="AH271" s="201">
        <f t="shared" si="110"/>
        <v>21.895</v>
      </c>
      <c r="AJ271" s="145" t="s">
        <v>866</v>
      </c>
      <c r="AK271" s="145">
        <f>AVERAGE(AK266:AK270)</f>
        <v>22</v>
      </c>
      <c r="AL271" s="145">
        <f>AVERAGE(AL266:AL270)</f>
        <v>27.217199999999998</v>
      </c>
      <c r="AM271" s="145">
        <f>AVERAGE(AM266:AM270)</f>
        <v>207.31360000000001</v>
      </c>
    </row>
    <row r="272" spans="1:39" x14ac:dyDescent="0.25">
      <c r="A272" s="92" t="s">
        <v>36</v>
      </c>
      <c r="B272" s="92"/>
      <c r="C272" s="94">
        <v>25</v>
      </c>
      <c r="D272" s="94">
        <v>28.29</v>
      </c>
      <c r="E272" s="94">
        <v>174.29</v>
      </c>
      <c r="G272" s="92" t="s">
        <v>36</v>
      </c>
      <c r="H272" s="92"/>
      <c r="I272" s="94">
        <v>28</v>
      </c>
      <c r="J272" s="94">
        <v>14.71</v>
      </c>
      <c r="K272" s="94">
        <v>161.43</v>
      </c>
      <c r="M272" s="92" t="s">
        <v>36</v>
      </c>
      <c r="N272" s="92"/>
      <c r="O272" s="94">
        <v>24</v>
      </c>
      <c r="P272" s="94">
        <v>40.14</v>
      </c>
      <c r="Q272" s="94">
        <v>177.14</v>
      </c>
      <c r="S272" s="92" t="s">
        <v>36</v>
      </c>
      <c r="T272" s="92"/>
      <c r="U272" s="94">
        <v>23</v>
      </c>
      <c r="V272" s="94">
        <v>18.43</v>
      </c>
      <c r="W272" s="94">
        <v>171.57</v>
      </c>
      <c r="Y272" s="92"/>
      <c r="Z272" s="92"/>
      <c r="AA272" s="94"/>
      <c r="AB272" s="94"/>
      <c r="AC272" s="94"/>
      <c r="AE272" s="92" t="s">
        <v>690</v>
      </c>
      <c r="AF272" s="202">
        <f t="shared" si="108"/>
        <v>16.75</v>
      </c>
      <c r="AG272" s="202">
        <f t="shared" si="109"/>
        <v>11.465</v>
      </c>
      <c r="AH272" s="202">
        <f t="shared" si="110"/>
        <v>109.67749999999999</v>
      </c>
      <c r="AJ272" s="25" t="s">
        <v>36</v>
      </c>
      <c r="AK272" s="25">
        <v>20</v>
      </c>
      <c r="AL272" s="25">
        <v>17.856000000000002</v>
      </c>
      <c r="AM272" s="25">
        <v>174.05400000000003</v>
      </c>
    </row>
    <row r="273" spans="1:39" x14ac:dyDescent="0.25">
      <c r="A273" s="92" t="s">
        <v>48</v>
      </c>
      <c r="B273" s="92"/>
      <c r="C273" s="94">
        <v>20</v>
      </c>
      <c r="D273" s="94">
        <v>9</v>
      </c>
      <c r="E273" s="94">
        <v>187.71</v>
      </c>
      <c r="G273" s="92" t="s">
        <v>48</v>
      </c>
      <c r="H273" s="92"/>
      <c r="I273" s="94">
        <v>21</v>
      </c>
      <c r="J273" s="94">
        <v>-1</v>
      </c>
      <c r="K273" s="94">
        <v>165.71</v>
      </c>
      <c r="M273" s="92" t="s">
        <v>48</v>
      </c>
      <c r="N273" s="92"/>
      <c r="O273" s="94">
        <v>21</v>
      </c>
      <c r="P273" s="94">
        <v>33.86</v>
      </c>
      <c r="Q273" s="94">
        <v>190.86</v>
      </c>
      <c r="S273" s="92" t="s">
        <v>48</v>
      </c>
      <c r="T273" s="92"/>
      <c r="U273" s="94">
        <v>22</v>
      </c>
      <c r="V273" s="94">
        <v>33</v>
      </c>
      <c r="W273" s="94">
        <v>204.43</v>
      </c>
      <c r="Y273" s="92"/>
      <c r="Z273" s="92"/>
      <c r="AA273" s="94"/>
      <c r="AB273" s="94"/>
      <c r="AC273" s="94"/>
      <c r="AE273" s="92" t="s">
        <v>11</v>
      </c>
      <c r="AF273" s="202">
        <f t="shared" si="108"/>
        <v>29.25</v>
      </c>
      <c r="AG273" s="202">
        <f t="shared" si="109"/>
        <v>25.392500000000002</v>
      </c>
      <c r="AH273" s="202">
        <f t="shared" si="110"/>
        <v>217.785</v>
      </c>
      <c r="AJ273" s="25" t="s">
        <v>37</v>
      </c>
      <c r="AK273" s="25">
        <v>18.399999999999999</v>
      </c>
      <c r="AL273" s="25">
        <v>16.655999999999999</v>
      </c>
      <c r="AM273" s="25">
        <v>139.54000000000002</v>
      </c>
    </row>
    <row r="274" spans="1:39" x14ac:dyDescent="0.25">
      <c r="A274" s="27" t="s">
        <v>37</v>
      </c>
      <c r="B274" s="27"/>
      <c r="C274" s="28">
        <v>18</v>
      </c>
      <c r="D274" s="28">
        <v>29.57</v>
      </c>
      <c r="E274" s="28">
        <v>145.57</v>
      </c>
      <c r="G274" s="27" t="s">
        <v>37</v>
      </c>
      <c r="H274" s="27"/>
      <c r="I274" s="28">
        <v>19</v>
      </c>
      <c r="J274" s="28">
        <v>21.71</v>
      </c>
      <c r="K274" s="28">
        <v>147.29</v>
      </c>
      <c r="M274" s="27" t="s">
        <v>37</v>
      </c>
      <c r="N274" s="27"/>
      <c r="O274" s="28">
        <v>17</v>
      </c>
      <c r="P274" s="28">
        <v>5</v>
      </c>
      <c r="Q274" s="28">
        <v>134.71</v>
      </c>
      <c r="S274" s="27" t="s">
        <v>37</v>
      </c>
      <c r="T274" s="27"/>
      <c r="U274" s="28">
        <v>16</v>
      </c>
      <c r="V274" s="28">
        <v>42.71</v>
      </c>
      <c r="W274" s="28">
        <v>162.13999999999999</v>
      </c>
      <c r="Y274" s="27"/>
      <c r="Z274" s="27"/>
      <c r="AA274" s="28"/>
      <c r="AB274" s="28"/>
      <c r="AC274" s="28"/>
      <c r="AE274" s="92" t="s">
        <v>36</v>
      </c>
      <c r="AF274" s="202">
        <f t="shared" si="108"/>
        <v>25</v>
      </c>
      <c r="AG274" s="202">
        <f t="shared" si="109"/>
        <v>25.392499999999998</v>
      </c>
      <c r="AH274" s="202">
        <f t="shared" si="110"/>
        <v>171.10749999999999</v>
      </c>
      <c r="AJ274" s="25" t="s">
        <v>12</v>
      </c>
      <c r="AK274" s="25">
        <v>26.6</v>
      </c>
      <c r="AL274" s="25">
        <v>29.314</v>
      </c>
      <c r="AM274" s="25">
        <v>196.286</v>
      </c>
    </row>
    <row r="275" spans="1:39" x14ac:dyDescent="0.25">
      <c r="A275" s="27" t="s">
        <v>9</v>
      </c>
      <c r="B275" s="27"/>
      <c r="C275" s="28">
        <v>21</v>
      </c>
      <c r="D275" s="28">
        <v>27</v>
      </c>
      <c r="E275" s="28">
        <v>170.43</v>
      </c>
      <c r="G275" s="27" t="s">
        <v>9</v>
      </c>
      <c r="H275" s="27"/>
      <c r="I275" s="28">
        <v>19</v>
      </c>
      <c r="J275" s="28">
        <v>18.57</v>
      </c>
      <c r="K275" s="28">
        <v>170.43</v>
      </c>
      <c r="M275" s="27" t="s">
        <v>9</v>
      </c>
      <c r="N275" s="27"/>
      <c r="O275" s="28">
        <v>21</v>
      </c>
      <c r="P275" s="28">
        <v>30.57</v>
      </c>
      <c r="Q275" s="28">
        <v>180.14</v>
      </c>
      <c r="S275" s="27" t="s">
        <v>9</v>
      </c>
      <c r="T275" s="27"/>
      <c r="U275" s="28">
        <v>21</v>
      </c>
      <c r="V275" s="28">
        <v>7.43</v>
      </c>
      <c r="W275" s="28">
        <v>168</v>
      </c>
      <c r="Y275" s="27"/>
      <c r="Z275" s="27"/>
      <c r="AA275" s="28"/>
      <c r="AB275" s="28"/>
      <c r="AC275" s="28"/>
      <c r="AE275" s="92" t="s">
        <v>48</v>
      </c>
      <c r="AF275" s="202">
        <f t="shared" si="108"/>
        <v>21</v>
      </c>
      <c r="AG275" s="202">
        <f t="shared" si="109"/>
        <v>18.715</v>
      </c>
      <c r="AH275" s="202">
        <f t="shared" si="110"/>
        <v>187.17750000000001</v>
      </c>
      <c r="AJ275" s="25" t="s">
        <v>32</v>
      </c>
      <c r="AK275" s="25">
        <v>24.8</v>
      </c>
      <c r="AL275" s="25">
        <v>22.830000000000002</v>
      </c>
      <c r="AM275" s="25">
        <v>176.172</v>
      </c>
    </row>
    <row r="276" spans="1:39" x14ac:dyDescent="0.25">
      <c r="A276" s="27" t="s">
        <v>12</v>
      </c>
      <c r="B276" s="27"/>
      <c r="C276" s="28">
        <v>21</v>
      </c>
      <c r="D276" s="28">
        <v>21.29</v>
      </c>
      <c r="E276" s="28">
        <v>206.86</v>
      </c>
      <c r="G276" s="27" t="s">
        <v>12</v>
      </c>
      <c r="H276" s="27"/>
      <c r="I276" s="28">
        <v>24</v>
      </c>
      <c r="J276" s="28">
        <v>7.86</v>
      </c>
      <c r="K276" s="28">
        <v>191.57</v>
      </c>
      <c r="M276" s="27" t="s">
        <v>12</v>
      </c>
      <c r="N276" s="27"/>
      <c r="O276" s="28">
        <v>30</v>
      </c>
      <c r="P276" s="28">
        <v>13</v>
      </c>
      <c r="Q276" s="28">
        <v>174.71</v>
      </c>
      <c r="S276" s="27" t="s">
        <v>12</v>
      </c>
      <c r="T276" s="27"/>
      <c r="U276" s="28">
        <v>30</v>
      </c>
      <c r="V276" s="28">
        <v>27.14</v>
      </c>
      <c r="W276" s="28">
        <v>172.43</v>
      </c>
      <c r="Y276" s="27"/>
      <c r="Z276" s="27"/>
      <c r="AA276" s="28"/>
      <c r="AB276" s="28"/>
      <c r="AC276" s="28"/>
      <c r="AE276" s="27" t="s">
        <v>37</v>
      </c>
      <c r="AF276" s="188">
        <f t="shared" si="108"/>
        <v>17.5</v>
      </c>
      <c r="AG276" s="188">
        <f t="shared" si="109"/>
        <v>24.747500000000002</v>
      </c>
      <c r="AH276" s="188">
        <f t="shared" si="110"/>
        <v>147.42750000000001</v>
      </c>
      <c r="AJ276" s="146" t="s">
        <v>867</v>
      </c>
      <c r="AK276" s="146">
        <f>AVERAGE(AK272:AK275)</f>
        <v>22.45</v>
      </c>
      <c r="AL276" s="146">
        <f>AVERAGE(AL272:AL275)</f>
        <v>21.664000000000001</v>
      </c>
      <c r="AM276" s="146">
        <f>AVERAGE(AM272:AM275)</f>
        <v>171.51300000000001</v>
      </c>
    </row>
    <row r="277" spans="1:39" x14ac:dyDescent="0.25">
      <c r="A277" s="27" t="s">
        <v>10</v>
      </c>
      <c r="B277" s="27"/>
      <c r="C277" s="28">
        <v>22</v>
      </c>
      <c r="D277" s="28">
        <v>12</v>
      </c>
      <c r="E277" s="28">
        <v>206</v>
      </c>
      <c r="G277" s="27" t="s">
        <v>10</v>
      </c>
      <c r="H277" s="27"/>
      <c r="I277" s="28">
        <v>19</v>
      </c>
      <c r="J277" s="28">
        <v>16.57</v>
      </c>
      <c r="K277" s="28">
        <v>202.57</v>
      </c>
      <c r="M277" s="27" t="s">
        <v>10</v>
      </c>
      <c r="N277" s="27"/>
      <c r="O277" s="28">
        <v>22</v>
      </c>
      <c r="P277" s="28">
        <v>31.14</v>
      </c>
      <c r="Q277" s="28">
        <v>211.29</v>
      </c>
      <c r="S277" s="27" t="s">
        <v>10</v>
      </c>
      <c r="T277" s="27"/>
      <c r="U277" s="28">
        <v>25</v>
      </c>
      <c r="V277" s="28">
        <v>41.43</v>
      </c>
      <c r="W277" s="28">
        <v>227.57</v>
      </c>
      <c r="Y277" s="27"/>
      <c r="Z277" s="27"/>
      <c r="AA277" s="28"/>
      <c r="AB277" s="28"/>
      <c r="AC277" s="28"/>
      <c r="AE277" s="27" t="s">
        <v>9</v>
      </c>
      <c r="AF277" s="188">
        <f t="shared" si="108"/>
        <v>20.5</v>
      </c>
      <c r="AG277" s="188">
        <f t="shared" si="109"/>
        <v>20.892499999999998</v>
      </c>
      <c r="AH277" s="188">
        <f t="shared" si="110"/>
        <v>172.25</v>
      </c>
      <c r="AJ277" s="92" t="s">
        <v>690</v>
      </c>
      <c r="AK277" s="92">
        <v>13.4</v>
      </c>
      <c r="AL277" s="92">
        <v>15.228</v>
      </c>
      <c r="AM277" s="92">
        <v>101.828</v>
      </c>
    </row>
    <row r="278" spans="1:39" x14ac:dyDescent="0.25">
      <c r="A278" s="27" t="s">
        <v>672</v>
      </c>
      <c r="B278" s="27"/>
      <c r="C278" s="28">
        <v>19</v>
      </c>
      <c r="D278" s="28">
        <v>14</v>
      </c>
      <c r="E278" s="28">
        <v>156.71</v>
      </c>
      <c r="G278" s="27" t="s">
        <v>672</v>
      </c>
      <c r="H278" s="27"/>
      <c r="I278" s="28">
        <v>17</v>
      </c>
      <c r="J278" s="28">
        <v>-13.57</v>
      </c>
      <c r="K278" s="28">
        <v>126</v>
      </c>
      <c r="M278" s="27" t="s">
        <v>672</v>
      </c>
      <c r="N278" s="27"/>
      <c r="O278" s="28">
        <v>16</v>
      </c>
      <c r="P278" s="28">
        <v>16</v>
      </c>
      <c r="Q278" s="28">
        <v>126.14</v>
      </c>
      <c r="S278" s="27" t="s">
        <v>672</v>
      </c>
      <c r="T278" s="27"/>
      <c r="U278" s="28">
        <v>17</v>
      </c>
      <c r="V278" s="28">
        <v>17.29</v>
      </c>
      <c r="W278" s="28">
        <v>126.43</v>
      </c>
      <c r="Y278" s="27"/>
      <c r="Z278" s="27"/>
      <c r="AA278" s="28"/>
      <c r="AB278" s="28"/>
      <c r="AC278" s="28"/>
      <c r="AE278" s="27" t="s">
        <v>12</v>
      </c>
      <c r="AF278" s="188">
        <f>AVERAGE(U276,O276,I276,C276)</f>
        <v>26.25</v>
      </c>
      <c r="AG278" s="188">
        <f t="shared" si="109"/>
        <v>17.322499999999998</v>
      </c>
      <c r="AH278" s="188">
        <f t="shared" si="110"/>
        <v>186.39250000000001</v>
      </c>
      <c r="AJ278" s="92" t="s">
        <v>48</v>
      </c>
      <c r="AK278" s="92">
        <v>21</v>
      </c>
      <c r="AL278" s="92">
        <v>22.198</v>
      </c>
      <c r="AM278" s="92">
        <v>192.8</v>
      </c>
    </row>
    <row r="279" spans="1:39" x14ac:dyDescent="0.25">
      <c r="A279" s="2" t="s">
        <v>649</v>
      </c>
      <c r="B279" s="2"/>
      <c r="C279" s="28">
        <v>2</v>
      </c>
      <c r="D279" s="28">
        <v>0</v>
      </c>
      <c r="E279" s="28">
        <v>11.71</v>
      </c>
      <c r="G279" s="2" t="s">
        <v>649</v>
      </c>
      <c r="H279" s="2"/>
      <c r="I279" s="28">
        <v>2</v>
      </c>
      <c r="J279" s="28">
        <v>0</v>
      </c>
      <c r="K279" s="28">
        <v>9.7100000000000009</v>
      </c>
      <c r="M279" s="2" t="s">
        <v>649</v>
      </c>
      <c r="N279" s="2"/>
      <c r="O279" s="28">
        <v>2</v>
      </c>
      <c r="P279" s="28">
        <v>0</v>
      </c>
      <c r="Q279" s="28">
        <v>7.71</v>
      </c>
      <c r="S279" s="2" t="s">
        <v>649</v>
      </c>
      <c r="T279" s="2"/>
      <c r="U279" s="28">
        <v>2</v>
      </c>
      <c r="V279" s="28"/>
      <c r="W279" s="28">
        <v>5.71</v>
      </c>
      <c r="Y279" s="2"/>
      <c r="Z279" s="2"/>
      <c r="AA279" s="28"/>
      <c r="AB279" s="28"/>
      <c r="AC279" s="28"/>
      <c r="AE279" s="27" t="s">
        <v>10</v>
      </c>
      <c r="AF279" s="188">
        <f t="shared" si="108"/>
        <v>22</v>
      </c>
      <c r="AG279" s="188">
        <f t="shared" si="109"/>
        <v>25.284999999999997</v>
      </c>
      <c r="AH279" s="188">
        <f t="shared" si="110"/>
        <v>211.85750000000002</v>
      </c>
      <c r="AJ279" s="92" t="s">
        <v>672</v>
      </c>
      <c r="AK279" s="92">
        <v>18.8</v>
      </c>
      <c r="AL279" s="92">
        <v>15.974</v>
      </c>
      <c r="AM279" s="92">
        <v>164.62800000000001</v>
      </c>
    </row>
    <row r="280" spans="1:39" x14ac:dyDescent="0.25">
      <c r="A280" s="72" t="s">
        <v>39</v>
      </c>
      <c r="B280" s="72"/>
      <c r="C280" s="8">
        <f>SUM(C263:C279)</f>
        <v>263</v>
      </c>
      <c r="D280" s="8">
        <f>SUM(D263:D279)</f>
        <v>231.14999999999998</v>
      </c>
      <c r="E280" s="8">
        <f>SUM(E263:E279)</f>
        <v>2266.7200000000003</v>
      </c>
      <c r="G280" s="72" t="s">
        <v>39</v>
      </c>
      <c r="H280" s="72"/>
      <c r="I280" s="8">
        <f>SUM(I263:I279)</f>
        <v>265</v>
      </c>
      <c r="J280" s="8">
        <f>SUM(J263:J279)</f>
        <v>180.71</v>
      </c>
      <c r="K280" s="8">
        <f>SUM(K263:K279)</f>
        <v>2185.71</v>
      </c>
      <c r="M280" s="72" t="s">
        <v>39</v>
      </c>
      <c r="N280" s="72"/>
      <c r="O280" s="8">
        <f>SUM(O263:O279)</f>
        <v>267</v>
      </c>
      <c r="P280" s="8">
        <f>SUM(P263:P279)</f>
        <v>261.86</v>
      </c>
      <c r="Q280" s="137">
        <f>SUM(Q263:Q279)</f>
        <v>2180.71</v>
      </c>
      <c r="S280" s="72" t="s">
        <v>39</v>
      </c>
      <c r="T280" s="72"/>
      <c r="U280" s="8">
        <f>SUM(U263:U279)</f>
        <v>274</v>
      </c>
      <c r="V280" s="8">
        <f>SUM(V263:V279)</f>
        <v>295.43000000000006</v>
      </c>
      <c r="W280" s="8">
        <f>SUM(W263:W279)</f>
        <v>2211.14</v>
      </c>
      <c r="Y280" s="72"/>
      <c r="Z280" s="72"/>
      <c r="AA280" s="8"/>
      <c r="AB280" s="8"/>
      <c r="AC280" s="8"/>
      <c r="AE280" s="27" t="s">
        <v>672</v>
      </c>
      <c r="AF280" s="188">
        <f t="shared" si="108"/>
        <v>17.25</v>
      </c>
      <c r="AG280" s="188">
        <f t="shared" si="109"/>
        <v>8.43</v>
      </c>
      <c r="AH280" s="188">
        <f t="shared" si="110"/>
        <v>133.82</v>
      </c>
      <c r="AJ280" s="147" t="s">
        <v>868</v>
      </c>
      <c r="AK280" s="147">
        <f>AVERAGE(AK277:AK279)</f>
        <v>17.733333333333334</v>
      </c>
      <c r="AL280" s="147">
        <f t="shared" ref="AL280:AM280" si="111">AVERAGE(AL277:AL279)</f>
        <v>17.8</v>
      </c>
      <c r="AM280" s="147">
        <f t="shared" si="111"/>
        <v>153.08533333333335</v>
      </c>
    </row>
    <row r="281" spans="1:39" x14ac:dyDescent="0.25">
      <c r="A281" s="72"/>
      <c r="B281" s="72"/>
      <c r="C281" s="7"/>
      <c r="D281" s="7"/>
      <c r="E281" s="7"/>
      <c r="G281" s="72"/>
      <c r="H281" s="72"/>
      <c r="I281" s="7"/>
      <c r="J281" s="7"/>
      <c r="K281" s="7"/>
      <c r="M281" s="72"/>
      <c r="N281" s="72"/>
      <c r="O281" s="7"/>
      <c r="P281" s="7"/>
      <c r="Q281" s="7"/>
      <c r="S281" s="72"/>
      <c r="T281" s="72"/>
      <c r="U281" s="7"/>
      <c r="V281" s="7"/>
      <c r="W281" s="7"/>
      <c r="Y281" s="72"/>
      <c r="Z281" s="72"/>
      <c r="AA281" s="7"/>
      <c r="AB281" s="7"/>
      <c r="AC281" s="7"/>
      <c r="AE281" s="2" t="s">
        <v>649</v>
      </c>
      <c r="AF281" s="14"/>
      <c r="AG281" s="14"/>
      <c r="AH281" s="14"/>
      <c r="AJ281" s="90" t="s">
        <v>30</v>
      </c>
      <c r="AK281" s="90">
        <v>5.4</v>
      </c>
      <c r="AL281" s="90">
        <v>2.4279999999999999</v>
      </c>
      <c r="AM281" s="90">
        <v>20.568000000000001</v>
      </c>
    </row>
    <row r="282" spans="1:39" x14ac:dyDescent="0.25">
      <c r="A282" s="72"/>
      <c r="B282" s="6" t="s">
        <v>477</v>
      </c>
      <c r="C282" s="131">
        <f>SUM(C265:C269)</f>
        <v>71</v>
      </c>
      <c r="D282" s="131">
        <f t="shared" ref="D282:E282" si="112">SUM(D265:D269)</f>
        <v>76.14</v>
      </c>
      <c r="E282" s="131">
        <f t="shared" si="112"/>
        <v>674.58</v>
      </c>
      <c r="G282" s="72"/>
      <c r="H282" s="6">
        <v>1</v>
      </c>
      <c r="I282" s="131">
        <f>SUM(I265:I269)</f>
        <v>70</v>
      </c>
      <c r="J282" s="93">
        <f t="shared" ref="J282:K282" si="113">SUM(J265:J269)</f>
        <v>84.86</v>
      </c>
      <c r="K282" s="131">
        <f t="shared" si="113"/>
        <v>691.86</v>
      </c>
      <c r="M282" s="72"/>
      <c r="N282" s="6">
        <v>1</v>
      </c>
      <c r="O282" s="95">
        <f>SUM(O265:O269)</f>
        <v>66</v>
      </c>
      <c r="P282" s="95">
        <f t="shared" ref="P282:Q282" si="114">SUM(P265:P269)</f>
        <v>37.15</v>
      </c>
      <c r="Q282" s="95">
        <f t="shared" si="114"/>
        <v>650.73</v>
      </c>
      <c r="S282" s="72"/>
      <c r="T282" s="6">
        <v>1</v>
      </c>
      <c r="U282" s="95">
        <f>SUM(U265:U269)</f>
        <v>72</v>
      </c>
      <c r="V282" s="95">
        <f t="shared" ref="V282:W282" si="115">SUM(V265:V269)</f>
        <v>60.43</v>
      </c>
      <c r="W282" s="95">
        <f t="shared" si="115"/>
        <v>642.29</v>
      </c>
      <c r="Y282" s="72"/>
      <c r="Z282" s="6"/>
      <c r="AA282" s="95"/>
      <c r="AB282" s="95"/>
      <c r="AC282" s="95"/>
      <c r="AE282" s="27" t="s">
        <v>1064</v>
      </c>
      <c r="AF282" s="217">
        <f>AVERAGE(AF267:AF281)</f>
        <v>18.946428571428573</v>
      </c>
      <c r="AG282" s="217">
        <f>AVERAGE(AG267:AG281)</f>
        <v>17.306249999999999</v>
      </c>
      <c r="AH282" s="217">
        <f>AVERAGE(AH267:AH281)</f>
        <v>157.31142857142859</v>
      </c>
      <c r="AJ282" s="90" t="s">
        <v>31</v>
      </c>
      <c r="AK282" s="90">
        <v>1.8</v>
      </c>
      <c r="AL282" s="90">
        <v>0</v>
      </c>
      <c r="AM282" s="90">
        <v>27.660000000000004</v>
      </c>
    </row>
    <row r="283" spans="1:39" ht="30" x14ac:dyDescent="0.25">
      <c r="A283" s="68" t="s">
        <v>50</v>
      </c>
      <c r="B283" s="87" t="s">
        <v>478</v>
      </c>
      <c r="C283" s="131">
        <f>SUM(C270:C273)</f>
        <v>89</v>
      </c>
      <c r="D283" s="131">
        <f t="shared" ref="D283:E283" si="116">SUM(D270:D273)</f>
        <v>51.15</v>
      </c>
      <c r="E283" s="131">
        <f t="shared" si="116"/>
        <v>694.86</v>
      </c>
      <c r="G283" s="68" t="s">
        <v>50</v>
      </c>
      <c r="H283" s="87">
        <v>2</v>
      </c>
      <c r="I283" s="95">
        <f>SUM(I270:I273)</f>
        <v>95</v>
      </c>
      <c r="J283" s="95">
        <f t="shared" ref="J283:K283" si="117">SUM(J270:J273)</f>
        <v>44.71</v>
      </c>
      <c r="K283" s="95">
        <f t="shared" si="117"/>
        <v>646.28</v>
      </c>
      <c r="M283" s="68" t="s">
        <v>50</v>
      </c>
      <c r="N283" s="87">
        <v>2</v>
      </c>
      <c r="O283" s="95">
        <f>SUM(O270:O273)</f>
        <v>93</v>
      </c>
      <c r="P283" s="93">
        <f t="shared" ref="P283:Q283" si="118">SUM(P270:P273)</f>
        <v>129</v>
      </c>
      <c r="Q283" s="95">
        <f t="shared" si="118"/>
        <v>695.28</v>
      </c>
      <c r="S283" s="68" t="s">
        <v>50</v>
      </c>
      <c r="T283" s="87">
        <v>2</v>
      </c>
      <c r="U283" s="95">
        <f>SUM(U270:U273)</f>
        <v>91</v>
      </c>
      <c r="V283" s="95">
        <f t="shared" ref="V283:W283" si="119">SUM(V270:V273)</f>
        <v>99</v>
      </c>
      <c r="W283" s="95">
        <f t="shared" si="119"/>
        <v>706.56999999999994</v>
      </c>
      <c r="Y283" s="68"/>
      <c r="Z283" s="87"/>
      <c r="AA283" s="95"/>
      <c r="AB283" s="93"/>
      <c r="AC283" s="95"/>
    </row>
    <row r="284" spans="1:39" x14ac:dyDescent="0.25">
      <c r="A284" s="72"/>
      <c r="B284" s="6" t="s">
        <v>479</v>
      </c>
      <c r="C284" s="93">
        <f>SUM(C274:C278)</f>
        <v>101</v>
      </c>
      <c r="D284" s="93">
        <f t="shared" ref="D284:E284" si="120">SUM(D274:D278)</f>
        <v>103.86</v>
      </c>
      <c r="E284" s="93">
        <f t="shared" si="120"/>
        <v>885.57</v>
      </c>
      <c r="G284" s="72"/>
      <c r="H284" s="6">
        <v>3</v>
      </c>
      <c r="I284" s="93">
        <f>SUM(I274:I278)</f>
        <v>98</v>
      </c>
      <c r="J284" s="95">
        <f t="shared" ref="J284:K284" si="121">SUM(J274:J278)</f>
        <v>51.140000000000008</v>
      </c>
      <c r="K284" s="93">
        <f t="shared" si="121"/>
        <v>837.86</v>
      </c>
      <c r="M284" s="72"/>
      <c r="N284" s="6">
        <v>3</v>
      </c>
      <c r="O284" s="93">
        <f>SUM(O274:O278)</f>
        <v>106</v>
      </c>
      <c r="P284" s="95">
        <f t="shared" ref="P284:Q284" si="122">SUM(P274:P278)</f>
        <v>95.710000000000008</v>
      </c>
      <c r="Q284" s="93">
        <f t="shared" si="122"/>
        <v>826.99</v>
      </c>
      <c r="S284" s="72"/>
      <c r="T284" s="6">
        <v>3</v>
      </c>
      <c r="U284" s="93">
        <f>SUM(U274:U278)</f>
        <v>109</v>
      </c>
      <c r="V284" s="93">
        <f t="shared" ref="V284:W284" si="123">SUM(V274:V278)</f>
        <v>136</v>
      </c>
      <c r="W284" s="93">
        <f t="shared" si="123"/>
        <v>856.56999999999994</v>
      </c>
      <c r="Y284" s="72"/>
      <c r="Z284" s="6"/>
      <c r="AA284" s="93"/>
      <c r="AB284" s="95"/>
      <c r="AC284" s="93"/>
    </row>
    <row r="285" spans="1:39" ht="30" x14ac:dyDescent="0.25">
      <c r="A285" s="68" t="s">
        <v>50</v>
      </c>
      <c r="B285" s="6"/>
      <c r="C285" s="66"/>
      <c r="D285" s="66">
        <v>62</v>
      </c>
      <c r="E285" s="66">
        <f>SUM(D280/D285)</f>
        <v>3.7282258064516127</v>
      </c>
      <c r="G285" s="68" t="s">
        <v>50</v>
      </c>
      <c r="H285" s="6"/>
      <c r="I285" s="66"/>
      <c r="J285" s="66">
        <v>32</v>
      </c>
      <c r="K285" s="224">
        <f>SUM(J280/J285)</f>
        <v>5.6471875000000002</v>
      </c>
      <c r="L285" s="66"/>
      <c r="M285" s="68" t="s">
        <v>50</v>
      </c>
      <c r="N285" s="6"/>
      <c r="O285" s="66"/>
      <c r="P285" s="66">
        <v>45</v>
      </c>
      <c r="Q285" s="224">
        <f>SUM(P280/P285)</f>
        <v>5.8191111111111118</v>
      </c>
      <c r="R285" s="66"/>
      <c r="S285" s="68" t="s">
        <v>50</v>
      </c>
      <c r="T285" s="66"/>
      <c r="U285" s="66"/>
      <c r="V285" s="66">
        <v>60</v>
      </c>
      <c r="W285" s="224">
        <f>SUM(V280/V285)</f>
        <v>4.9238333333333344</v>
      </c>
      <c r="Y285" s="68"/>
      <c r="Z285" s="66"/>
      <c r="AA285" s="66"/>
      <c r="AB285" s="66"/>
      <c r="AC285" s="66"/>
    </row>
    <row r="286" spans="1:39" x14ac:dyDescent="0.25">
      <c r="A286" s="72" t="s">
        <v>41</v>
      </c>
      <c r="B286" s="6"/>
      <c r="C286" s="8"/>
      <c r="D286" s="8"/>
      <c r="E286" s="8"/>
      <c r="G286" s="72" t="s">
        <v>41</v>
      </c>
      <c r="H286" s="6"/>
      <c r="I286" s="8"/>
      <c r="J286" s="8"/>
      <c r="K286" s="8"/>
      <c r="L286" s="8"/>
      <c r="M286" s="72" t="s">
        <v>41</v>
      </c>
      <c r="N286" s="6"/>
      <c r="O286" s="8"/>
      <c r="P286" s="8"/>
      <c r="Q286" s="8"/>
      <c r="R286" s="8"/>
      <c r="S286" s="72" t="s">
        <v>41</v>
      </c>
      <c r="T286" s="6"/>
      <c r="U286" s="8"/>
      <c r="V286" s="8"/>
      <c r="W286" s="8"/>
      <c r="Y286" s="72"/>
      <c r="Z286" s="6"/>
      <c r="AA286" s="8"/>
      <c r="AB286" s="8"/>
      <c r="AC286" s="8"/>
    </row>
    <row r="287" spans="1:39" x14ac:dyDescent="0.25">
      <c r="C287" s="12" t="e">
        <f>#REF!-#REF!</f>
        <v>#REF!</v>
      </c>
      <c r="D287" s="12" t="e">
        <f>#REF!-#REF!</f>
        <v>#REF!</v>
      </c>
      <c r="E287" s="12" t="e">
        <f>#REF!-#REF!</f>
        <v>#REF!</v>
      </c>
      <c r="I287" s="12" t="e">
        <f>#REF!-#REF!</f>
        <v>#REF!</v>
      </c>
      <c r="J287" s="12" t="e">
        <f>#REF!-#REF!</f>
        <v>#REF!</v>
      </c>
      <c r="K287" s="12" t="e">
        <f>#REF!-#REF!</f>
        <v>#REF!</v>
      </c>
      <c r="L287" s="12"/>
      <c r="O287" s="12" t="e">
        <f>#REF!-#REF!</f>
        <v>#REF!</v>
      </c>
      <c r="P287" s="12" t="e">
        <f>#REF!-#REF!</f>
        <v>#REF!</v>
      </c>
      <c r="Q287" s="12" t="e">
        <f>#REF!-#REF!</f>
        <v>#REF!</v>
      </c>
      <c r="R287" s="12"/>
      <c r="U287" s="12" t="e">
        <f>#REF!-#REF!</f>
        <v>#REF!</v>
      </c>
      <c r="V287" s="12" t="e">
        <f>#REF!-#REF!</f>
        <v>#REF!</v>
      </c>
      <c r="W287" s="12" t="e">
        <f>#REF!-#REF!</f>
        <v>#REF!</v>
      </c>
      <c r="AA287" s="12"/>
      <c r="AB287" s="12"/>
      <c r="AC287" s="12"/>
    </row>
    <row r="289" spans="1:28" ht="18.75" x14ac:dyDescent="0.3">
      <c r="A289" s="69" t="s">
        <v>1084</v>
      </c>
      <c r="B289" s="4"/>
      <c r="C289" s="10"/>
      <c r="D289" s="10"/>
      <c r="E289" s="10"/>
      <c r="G289" s="69" t="s">
        <v>1085</v>
      </c>
      <c r="H289" s="10"/>
      <c r="I289" s="10"/>
      <c r="J289" s="10"/>
      <c r="M289" s="69" t="s">
        <v>1086</v>
      </c>
      <c r="S289" s="69" t="s">
        <v>1087</v>
      </c>
    </row>
    <row r="290" spans="1:28" ht="45" x14ac:dyDescent="0.25">
      <c r="A290" s="70"/>
      <c r="B290" s="70"/>
      <c r="C290" s="71" t="s">
        <v>26</v>
      </c>
      <c r="D290" s="71" t="s">
        <v>27</v>
      </c>
      <c r="E290" s="71" t="s">
        <v>28</v>
      </c>
      <c r="G290" s="70"/>
      <c r="H290" s="70"/>
      <c r="I290" s="71" t="s">
        <v>26</v>
      </c>
      <c r="J290" s="71" t="s">
        <v>27</v>
      </c>
      <c r="K290" s="71" t="s">
        <v>28</v>
      </c>
      <c r="M290" s="70"/>
      <c r="N290" s="70"/>
      <c r="O290" s="71" t="s">
        <v>26</v>
      </c>
      <c r="P290" s="71" t="s">
        <v>27</v>
      </c>
      <c r="Q290" s="71" t="s">
        <v>28</v>
      </c>
      <c r="S290" s="70"/>
      <c r="T290" s="70"/>
      <c r="U290" s="71" t="s">
        <v>26</v>
      </c>
      <c r="V290" s="71" t="s">
        <v>27</v>
      </c>
      <c r="W290" s="71" t="s">
        <v>28</v>
      </c>
      <c r="Y290" t="s">
        <v>1076</v>
      </c>
    </row>
    <row r="291" spans="1:28" ht="30" x14ac:dyDescent="0.25">
      <c r="A291" s="90" t="s">
        <v>29</v>
      </c>
      <c r="B291" s="90"/>
      <c r="C291" s="91">
        <v>23</v>
      </c>
      <c r="D291" s="91">
        <v>33.29</v>
      </c>
      <c r="E291" s="91">
        <v>211.57</v>
      </c>
      <c r="G291" s="90" t="s">
        <v>29</v>
      </c>
      <c r="H291" s="90"/>
      <c r="I291" s="91">
        <v>26</v>
      </c>
      <c r="J291" s="91">
        <v>29.71</v>
      </c>
      <c r="K291" s="91">
        <v>215.71</v>
      </c>
      <c r="M291" s="90" t="s">
        <v>29</v>
      </c>
      <c r="N291" s="90"/>
      <c r="O291" s="91">
        <v>23</v>
      </c>
      <c r="P291" s="91">
        <v>31.43</v>
      </c>
      <c r="Q291" s="91">
        <v>223.43</v>
      </c>
      <c r="S291" s="90" t="s">
        <v>29</v>
      </c>
      <c r="T291" s="90"/>
      <c r="U291" s="91">
        <v>22</v>
      </c>
      <c r="V291" s="91">
        <v>-0.14000000000000001</v>
      </c>
      <c r="W291" s="91">
        <v>202.29</v>
      </c>
      <c r="Y291" s="124" t="s">
        <v>685</v>
      </c>
      <c r="Z291" s="71" t="s">
        <v>26</v>
      </c>
      <c r="AA291" s="71" t="s">
        <v>27</v>
      </c>
      <c r="AB291" s="71" t="s">
        <v>28</v>
      </c>
    </row>
    <row r="292" spans="1:28" x14ac:dyDescent="0.25">
      <c r="A292" s="90" t="s">
        <v>35</v>
      </c>
      <c r="B292" s="90"/>
      <c r="C292" s="91">
        <v>27</v>
      </c>
      <c r="D292" s="91">
        <v>16.29</v>
      </c>
      <c r="E292" s="91">
        <v>215.57</v>
      </c>
      <c r="G292" s="90" t="s">
        <v>35</v>
      </c>
      <c r="H292" s="90"/>
      <c r="I292" s="91">
        <v>27</v>
      </c>
      <c r="J292" s="91">
        <v>-5.86</v>
      </c>
      <c r="K292" s="91">
        <v>184</v>
      </c>
      <c r="M292" s="90" t="s">
        <v>35</v>
      </c>
      <c r="N292" s="90"/>
      <c r="O292" s="91">
        <v>26</v>
      </c>
      <c r="P292" s="91">
        <v>22.14</v>
      </c>
      <c r="Q292" s="91">
        <v>179.14</v>
      </c>
      <c r="S292" s="90" t="s">
        <v>35</v>
      </c>
      <c r="T292" s="90"/>
      <c r="U292" s="91">
        <v>27</v>
      </c>
      <c r="V292" s="91">
        <v>29.29</v>
      </c>
      <c r="W292" s="91">
        <v>181.43</v>
      </c>
      <c r="Y292" s="90" t="s">
        <v>29</v>
      </c>
      <c r="Z292" s="225">
        <f t="shared" ref="Z292:Z293" si="124">AVERAGE(O291,I291,C291,U291)</f>
        <v>23.5</v>
      </c>
      <c r="AA292" s="225">
        <f t="shared" ref="AA292:AA293" si="125">AVERAGE(P291,J291,D291,V291)</f>
        <v>23.572500000000002</v>
      </c>
      <c r="AB292" s="225">
        <f t="shared" ref="AB292:AB293" si="126">AVERAGE(Q291,K291,E291,W291)</f>
        <v>213.25</v>
      </c>
    </row>
    <row r="293" spans="1:28" x14ac:dyDescent="0.25">
      <c r="A293" s="123" t="s">
        <v>30</v>
      </c>
      <c r="B293" s="90"/>
      <c r="C293" s="91">
        <v>1</v>
      </c>
      <c r="D293" s="91">
        <v>0</v>
      </c>
      <c r="E293" s="91">
        <v>2.29</v>
      </c>
      <c r="G293" s="123" t="s">
        <v>30</v>
      </c>
      <c r="H293" s="90"/>
      <c r="I293" s="91">
        <v>1</v>
      </c>
      <c r="J293" s="91">
        <v>0</v>
      </c>
      <c r="K293" s="91">
        <v>1.29</v>
      </c>
      <c r="M293" s="123" t="s">
        <v>30</v>
      </c>
      <c r="N293" s="90"/>
      <c r="O293" s="91">
        <v>1</v>
      </c>
      <c r="P293" s="91"/>
      <c r="Q293" s="91">
        <v>0.28999999999999998</v>
      </c>
      <c r="S293" s="90" t="s">
        <v>32</v>
      </c>
      <c r="T293" s="90"/>
      <c r="U293" s="91">
        <v>26</v>
      </c>
      <c r="V293" s="91">
        <v>21.71</v>
      </c>
      <c r="W293" s="91">
        <v>184.57</v>
      </c>
      <c r="Y293" s="90" t="s">
        <v>35</v>
      </c>
      <c r="Z293" s="225">
        <f t="shared" si="124"/>
        <v>26.75</v>
      </c>
      <c r="AA293" s="201">
        <f t="shared" si="125"/>
        <v>15.465</v>
      </c>
      <c r="AB293" s="225">
        <f t="shared" si="126"/>
        <v>190.03500000000003</v>
      </c>
    </row>
    <row r="294" spans="1:28" x14ac:dyDescent="0.25">
      <c r="A294" s="90" t="s">
        <v>32</v>
      </c>
      <c r="B294" s="90"/>
      <c r="C294" s="91">
        <v>17</v>
      </c>
      <c r="D294" s="91">
        <v>16.43</v>
      </c>
      <c r="E294" s="91">
        <v>193</v>
      </c>
      <c r="G294" s="90" t="s">
        <v>32</v>
      </c>
      <c r="H294" s="90"/>
      <c r="I294" s="91">
        <v>20</v>
      </c>
      <c r="J294" s="91">
        <v>18.14</v>
      </c>
      <c r="K294" s="91">
        <v>191.14</v>
      </c>
      <c r="M294" s="90" t="s">
        <v>32</v>
      </c>
      <c r="N294" s="90"/>
      <c r="O294" s="91">
        <v>20</v>
      </c>
      <c r="P294" s="91">
        <v>16.29</v>
      </c>
      <c r="Q294" s="91">
        <v>188.14</v>
      </c>
      <c r="S294" s="123" t="s">
        <v>31</v>
      </c>
      <c r="T294" s="90"/>
      <c r="U294" s="91">
        <v>2</v>
      </c>
      <c r="V294" s="91">
        <v>0</v>
      </c>
      <c r="W294" s="91">
        <v>11.43</v>
      </c>
      <c r="Y294" s="90" t="s">
        <v>32</v>
      </c>
      <c r="Z294" s="225">
        <f t="shared" ref="Z294:AB295" si="127">AVERAGE(O294,I294,C294,U293)</f>
        <v>20.75</v>
      </c>
      <c r="AA294" s="201">
        <f t="shared" si="127"/>
        <v>18.142499999999998</v>
      </c>
      <c r="AB294" s="225">
        <f t="shared" si="127"/>
        <v>189.21249999999998</v>
      </c>
    </row>
    <row r="295" spans="1:28" x14ac:dyDescent="0.25">
      <c r="A295" s="123" t="s">
        <v>31</v>
      </c>
      <c r="B295" s="90"/>
      <c r="C295" s="91">
        <v>2</v>
      </c>
      <c r="D295" s="91">
        <v>0</v>
      </c>
      <c r="E295" s="91">
        <v>17.43</v>
      </c>
      <c r="G295" s="123" t="s">
        <v>31</v>
      </c>
      <c r="H295" s="90"/>
      <c r="I295" s="91">
        <v>2</v>
      </c>
      <c r="J295" s="91">
        <v>0</v>
      </c>
      <c r="K295" s="91">
        <v>15.43</v>
      </c>
      <c r="M295" s="123" t="s">
        <v>31</v>
      </c>
      <c r="N295" s="90"/>
      <c r="O295" s="91">
        <v>2</v>
      </c>
      <c r="P295" s="91"/>
      <c r="Q295" s="91">
        <v>13.43</v>
      </c>
      <c r="S295" s="90" t="s">
        <v>11</v>
      </c>
      <c r="T295" s="90"/>
      <c r="U295" s="91">
        <v>24</v>
      </c>
      <c r="V295" s="91">
        <v>12</v>
      </c>
      <c r="W295" s="91">
        <v>239.86</v>
      </c>
      <c r="Y295" s="90" t="s">
        <v>31</v>
      </c>
      <c r="Z295" s="201">
        <f t="shared" si="127"/>
        <v>2</v>
      </c>
      <c r="AA295" s="201">
        <f t="shared" si="127"/>
        <v>0</v>
      </c>
      <c r="AB295" s="201">
        <f t="shared" si="127"/>
        <v>14.43</v>
      </c>
    </row>
    <row r="296" spans="1:28" x14ac:dyDescent="0.25">
      <c r="A296" s="92" t="s">
        <v>481</v>
      </c>
      <c r="B296" s="92"/>
      <c r="C296" s="94">
        <v>15</v>
      </c>
      <c r="D296" s="94">
        <v>42.71</v>
      </c>
      <c r="E296" s="94">
        <v>124.43</v>
      </c>
      <c r="G296" s="92" t="s">
        <v>481</v>
      </c>
      <c r="H296" s="92"/>
      <c r="I296" s="94">
        <v>15</v>
      </c>
      <c r="J296" s="94">
        <v>2.57</v>
      </c>
      <c r="K296" s="94">
        <v>112.29</v>
      </c>
      <c r="M296" s="92" t="s">
        <v>481</v>
      </c>
      <c r="N296" s="92"/>
      <c r="O296" s="94">
        <v>17</v>
      </c>
      <c r="P296" s="94">
        <v>46.29</v>
      </c>
      <c r="Q296" s="94">
        <v>141.43</v>
      </c>
      <c r="S296" s="90" t="s">
        <v>48</v>
      </c>
      <c r="T296" s="90"/>
      <c r="U296" s="91">
        <v>20</v>
      </c>
      <c r="V296" s="91">
        <v>36</v>
      </c>
      <c r="W296" s="91">
        <v>236.86</v>
      </c>
      <c r="Y296" s="90" t="s">
        <v>11</v>
      </c>
      <c r="Z296" s="225">
        <f>AVERAGE(O297,I297,C297,U295)</f>
        <v>24.25</v>
      </c>
      <c r="AA296" s="225">
        <f>AVERAGE(P297,J297,D297,V295)</f>
        <v>25</v>
      </c>
      <c r="AB296" s="225">
        <f>AVERAGE(Q297,K297,E297,W295)</f>
        <v>231.64250000000001</v>
      </c>
    </row>
    <row r="297" spans="1:28" x14ac:dyDescent="0.25">
      <c r="A297" s="92" t="s">
        <v>11</v>
      </c>
      <c r="B297" s="92"/>
      <c r="C297" s="94">
        <v>23</v>
      </c>
      <c r="D297" s="94">
        <v>6</v>
      </c>
      <c r="E297" s="94">
        <v>217</v>
      </c>
      <c r="G297" s="92" t="s">
        <v>11</v>
      </c>
      <c r="H297" s="92"/>
      <c r="I297" s="94">
        <v>26</v>
      </c>
      <c r="J297" s="94">
        <v>25.57</v>
      </c>
      <c r="K297" s="94">
        <v>218.14</v>
      </c>
      <c r="M297" s="92" t="s">
        <v>11</v>
      </c>
      <c r="N297" s="92"/>
      <c r="O297" s="94">
        <v>24</v>
      </c>
      <c r="P297" s="94">
        <v>56.43</v>
      </c>
      <c r="Q297" s="94">
        <v>251.57</v>
      </c>
      <c r="S297" s="27" t="s">
        <v>36</v>
      </c>
      <c r="T297" s="27"/>
      <c r="U297" s="28">
        <v>23</v>
      </c>
      <c r="V297" s="28">
        <v>36</v>
      </c>
      <c r="W297" s="28">
        <v>188.71</v>
      </c>
      <c r="Y297" s="90" t="s">
        <v>48</v>
      </c>
      <c r="Z297" s="201">
        <f>AVERAGE(O299,I299,C299,U296)</f>
        <v>19.25</v>
      </c>
      <c r="AA297" s="225">
        <f>AVERAGE(P299,J299,D299,V296)</f>
        <v>26.605</v>
      </c>
      <c r="AB297" s="225">
        <f>AVERAGE(Q299,K299,E299,W296)</f>
        <v>223.535</v>
      </c>
    </row>
    <row r="298" spans="1:28" x14ac:dyDescent="0.25">
      <c r="A298" s="92" t="s">
        <v>36</v>
      </c>
      <c r="B298" s="92"/>
      <c r="C298" s="94">
        <v>21</v>
      </c>
      <c r="D298" s="94">
        <v>11.71</v>
      </c>
      <c r="E298" s="94">
        <v>152.29</v>
      </c>
      <c r="G298" s="92" t="s">
        <v>36</v>
      </c>
      <c r="H298" s="92"/>
      <c r="I298" s="94">
        <v>24</v>
      </c>
      <c r="J298" s="94">
        <v>35.71</v>
      </c>
      <c r="K298" s="94">
        <v>166.29</v>
      </c>
      <c r="M298" s="92" t="s">
        <v>36</v>
      </c>
      <c r="N298" s="92"/>
      <c r="O298" s="94">
        <v>20</v>
      </c>
      <c r="P298" s="94">
        <v>27.43</v>
      </c>
      <c r="Q298" s="94">
        <v>174</v>
      </c>
      <c r="S298" s="27" t="s">
        <v>481</v>
      </c>
      <c r="T298" s="27"/>
      <c r="U298" s="28">
        <v>20</v>
      </c>
      <c r="V298" s="28">
        <v>35.29</v>
      </c>
      <c r="W298" s="28">
        <v>158.13999999999999</v>
      </c>
      <c r="Y298" s="193" t="s">
        <v>36</v>
      </c>
      <c r="Z298" s="225">
        <f>AVERAGE(O298,I298,C298,U297)</f>
        <v>22</v>
      </c>
      <c r="AA298" s="225">
        <f>AVERAGE(P298,J298,D298,V297)</f>
        <v>27.712499999999999</v>
      </c>
      <c r="AB298" s="201">
        <f>AVERAGE(Q298,K298,E298,W297)</f>
        <v>170.32249999999999</v>
      </c>
    </row>
    <row r="299" spans="1:28" x14ac:dyDescent="0.25">
      <c r="A299" s="92" t="s">
        <v>48</v>
      </c>
      <c r="B299" s="92"/>
      <c r="C299" s="94">
        <v>17</v>
      </c>
      <c r="D299" s="94">
        <v>21.71</v>
      </c>
      <c r="E299" s="94">
        <v>209.14</v>
      </c>
      <c r="G299" s="92" t="s">
        <v>48</v>
      </c>
      <c r="H299" s="92"/>
      <c r="I299" s="94">
        <v>20</v>
      </c>
      <c r="J299" s="94">
        <v>39.14</v>
      </c>
      <c r="K299" s="94">
        <v>229.14</v>
      </c>
      <c r="M299" s="92" t="s">
        <v>48</v>
      </c>
      <c r="N299" s="92"/>
      <c r="O299" s="94">
        <v>20</v>
      </c>
      <c r="P299" s="94">
        <v>9.57</v>
      </c>
      <c r="Q299" s="94">
        <v>219</v>
      </c>
      <c r="S299" s="27" t="s">
        <v>37</v>
      </c>
      <c r="T299" s="27"/>
      <c r="U299" s="28">
        <v>20</v>
      </c>
      <c r="V299" s="28">
        <v>65.14</v>
      </c>
      <c r="W299" s="28">
        <v>198.86</v>
      </c>
      <c r="Y299" s="193" t="s">
        <v>690</v>
      </c>
      <c r="Z299" s="186">
        <f>AVERAGE(O296,I296,C296,U298)</f>
        <v>16.75</v>
      </c>
      <c r="AA299" s="225">
        <f>AVERAGE(P296,J296,D296,V298)</f>
        <v>31.714999999999996</v>
      </c>
      <c r="AB299" s="201">
        <f>AVERAGE(Q296,K296,E296,W298)</f>
        <v>134.07249999999999</v>
      </c>
    </row>
    <row r="300" spans="1:28" x14ac:dyDescent="0.25">
      <c r="A300" s="27" t="s">
        <v>37</v>
      </c>
      <c r="B300" s="27"/>
      <c r="C300" s="28">
        <v>15</v>
      </c>
      <c r="D300" s="28">
        <v>15.14</v>
      </c>
      <c r="E300" s="28">
        <v>162.57</v>
      </c>
      <c r="G300" s="27" t="s">
        <v>37</v>
      </c>
      <c r="H300" s="27"/>
      <c r="I300" s="28">
        <v>14</v>
      </c>
      <c r="J300" s="28">
        <v>24.71</v>
      </c>
      <c r="K300" s="28">
        <v>171.86</v>
      </c>
      <c r="M300" s="27" t="s">
        <v>37</v>
      </c>
      <c r="N300" s="27"/>
      <c r="O300" s="28">
        <v>18</v>
      </c>
      <c r="P300" s="28">
        <v>-1.86</v>
      </c>
      <c r="Q300" s="28">
        <v>152.57</v>
      </c>
      <c r="S300" s="27" t="s">
        <v>9</v>
      </c>
      <c r="T300" s="27"/>
      <c r="U300" s="28">
        <v>23</v>
      </c>
      <c r="V300" s="28">
        <v>13.57</v>
      </c>
      <c r="W300" s="28">
        <v>143.43</v>
      </c>
      <c r="Y300" s="27" t="s">
        <v>37</v>
      </c>
      <c r="Z300" s="186">
        <f t="shared" ref="Z300:AB304" si="128">AVERAGE(O300,I300,C300,U299)</f>
        <v>16.75</v>
      </c>
      <c r="AA300" s="225">
        <f t="shared" si="128"/>
        <v>25.782499999999999</v>
      </c>
      <c r="AB300" s="201">
        <f t="shared" si="128"/>
        <v>171.465</v>
      </c>
    </row>
    <row r="301" spans="1:28" x14ac:dyDescent="0.25">
      <c r="A301" s="27" t="s">
        <v>9</v>
      </c>
      <c r="B301" s="27"/>
      <c r="C301" s="28">
        <v>26</v>
      </c>
      <c r="D301" s="28">
        <v>0.28999999999999998</v>
      </c>
      <c r="E301" s="28">
        <v>152.13999999999999</v>
      </c>
      <c r="G301" s="27" t="s">
        <v>9</v>
      </c>
      <c r="H301" s="27"/>
      <c r="I301" s="28">
        <v>27</v>
      </c>
      <c r="J301" s="28">
        <v>19.71</v>
      </c>
      <c r="K301" s="28">
        <v>146.43</v>
      </c>
      <c r="M301" s="27" t="s">
        <v>9</v>
      </c>
      <c r="N301" s="27"/>
      <c r="O301" s="28">
        <v>25</v>
      </c>
      <c r="P301" s="28">
        <v>30.71</v>
      </c>
      <c r="Q301" s="28">
        <v>152.43</v>
      </c>
      <c r="S301" s="27" t="s">
        <v>12</v>
      </c>
      <c r="T301" s="27"/>
      <c r="U301" s="28">
        <v>21</v>
      </c>
      <c r="V301" s="28">
        <v>15.29</v>
      </c>
      <c r="W301" s="28">
        <v>187.57</v>
      </c>
      <c r="Y301" s="27" t="s">
        <v>9</v>
      </c>
      <c r="Z301" s="225">
        <f t="shared" si="128"/>
        <v>25.25</v>
      </c>
      <c r="AA301" s="186">
        <f t="shared" si="128"/>
        <v>16.07</v>
      </c>
      <c r="AB301" s="201">
        <f t="shared" si="128"/>
        <v>148.60750000000002</v>
      </c>
    </row>
    <row r="302" spans="1:28" x14ac:dyDescent="0.25">
      <c r="A302" s="27" t="s">
        <v>12</v>
      </c>
      <c r="B302" s="27"/>
      <c r="C302" s="28">
        <v>27</v>
      </c>
      <c r="D302" s="28">
        <v>30.43</v>
      </c>
      <c r="E302" s="28">
        <v>176.71</v>
      </c>
      <c r="G302" s="27" t="s">
        <v>12</v>
      </c>
      <c r="H302" s="27"/>
      <c r="I302" s="28">
        <v>24</v>
      </c>
      <c r="J302" s="28">
        <v>24</v>
      </c>
      <c r="K302" s="28">
        <v>176.71</v>
      </c>
      <c r="M302" s="27" t="s">
        <v>12</v>
      </c>
      <c r="N302" s="27"/>
      <c r="O302" s="28">
        <v>26</v>
      </c>
      <c r="P302" s="28">
        <v>59</v>
      </c>
      <c r="Q302" s="28">
        <v>211.29</v>
      </c>
      <c r="S302" s="27" t="s">
        <v>10</v>
      </c>
      <c r="T302" s="27"/>
      <c r="U302" s="28">
        <v>21</v>
      </c>
      <c r="V302" s="28">
        <v>34</v>
      </c>
      <c r="W302" s="28">
        <v>229.71</v>
      </c>
      <c r="Y302" s="27" t="s">
        <v>12</v>
      </c>
      <c r="Z302" s="225">
        <f t="shared" si="128"/>
        <v>24.5</v>
      </c>
      <c r="AA302" s="225">
        <f t="shared" si="128"/>
        <v>32.18</v>
      </c>
      <c r="AB302" s="225">
        <f t="shared" si="128"/>
        <v>188.07</v>
      </c>
    </row>
    <row r="303" spans="1:28" x14ac:dyDescent="0.25">
      <c r="A303" s="27" t="s">
        <v>10</v>
      </c>
      <c r="B303" s="27"/>
      <c r="C303" s="28">
        <v>27</v>
      </c>
      <c r="D303" s="28">
        <v>20</v>
      </c>
      <c r="E303" s="28">
        <v>220.29</v>
      </c>
      <c r="G303" s="27" t="s">
        <v>10</v>
      </c>
      <c r="H303" s="27"/>
      <c r="I303" s="28">
        <v>24</v>
      </c>
      <c r="J303" s="28">
        <v>31.43</v>
      </c>
      <c r="K303" s="28">
        <v>228.29</v>
      </c>
      <c r="M303" s="27" t="s">
        <v>10</v>
      </c>
      <c r="N303" s="27"/>
      <c r="O303" s="28">
        <v>23</v>
      </c>
      <c r="P303" s="28">
        <v>10.29</v>
      </c>
      <c r="Q303" s="28">
        <v>215.71</v>
      </c>
      <c r="S303" s="27" t="s">
        <v>672</v>
      </c>
      <c r="T303" s="27"/>
      <c r="U303" s="28">
        <v>12</v>
      </c>
      <c r="V303" s="28">
        <v>18.57</v>
      </c>
      <c r="W303" s="28">
        <v>138.71</v>
      </c>
      <c r="Y303" s="27" t="s">
        <v>10</v>
      </c>
      <c r="Z303" s="225">
        <f t="shared" si="128"/>
        <v>23.75</v>
      </c>
      <c r="AA303" s="225">
        <f t="shared" si="128"/>
        <v>23.93</v>
      </c>
      <c r="AB303" s="225">
        <f t="shared" si="128"/>
        <v>223.5</v>
      </c>
    </row>
    <row r="304" spans="1:28" x14ac:dyDescent="0.25">
      <c r="A304" s="27" t="s">
        <v>672</v>
      </c>
      <c r="B304" s="27"/>
      <c r="C304" s="28">
        <v>15</v>
      </c>
      <c r="D304" s="28">
        <v>25</v>
      </c>
      <c r="E304" s="28">
        <v>136.86000000000001</v>
      </c>
      <c r="G304" s="27" t="s">
        <v>672</v>
      </c>
      <c r="H304" s="27"/>
      <c r="I304" s="28">
        <v>16</v>
      </c>
      <c r="J304" s="28">
        <v>-3</v>
      </c>
      <c r="K304" s="28">
        <v>118</v>
      </c>
      <c r="M304" s="27" t="s">
        <v>672</v>
      </c>
      <c r="N304" s="27"/>
      <c r="O304" s="28">
        <v>13</v>
      </c>
      <c r="P304" s="28">
        <v>27.71</v>
      </c>
      <c r="Q304" s="28">
        <v>131.57</v>
      </c>
      <c r="S304" s="2" t="s">
        <v>1156</v>
      </c>
      <c r="T304" s="2"/>
      <c r="U304" s="28"/>
      <c r="V304" s="28"/>
      <c r="W304" s="28">
        <v>5.43</v>
      </c>
      <c r="Y304" s="27" t="s">
        <v>672</v>
      </c>
      <c r="Z304" s="186">
        <f t="shared" si="128"/>
        <v>14</v>
      </c>
      <c r="AA304" s="186">
        <f t="shared" si="128"/>
        <v>17.07</v>
      </c>
      <c r="AB304" s="201">
        <f t="shared" si="128"/>
        <v>131.285</v>
      </c>
    </row>
    <row r="305" spans="1:28" x14ac:dyDescent="0.25">
      <c r="A305" s="2" t="s">
        <v>649</v>
      </c>
      <c r="B305" s="2"/>
      <c r="C305" s="28">
        <v>1</v>
      </c>
      <c r="D305" s="28">
        <v>0</v>
      </c>
      <c r="E305" s="28">
        <v>5.43</v>
      </c>
      <c r="G305" s="2" t="s">
        <v>649</v>
      </c>
      <c r="H305" s="2"/>
      <c r="I305" s="28"/>
      <c r="J305" s="28"/>
      <c r="K305" s="28">
        <v>5.43</v>
      </c>
      <c r="M305" s="2" t="s">
        <v>649</v>
      </c>
      <c r="N305" s="2"/>
      <c r="O305" s="28"/>
      <c r="P305" s="28"/>
      <c r="Q305" s="28">
        <v>5.43</v>
      </c>
      <c r="S305" s="72" t="s">
        <v>39</v>
      </c>
      <c r="T305" s="72"/>
      <c r="U305" s="8">
        <f>SUM(U289:U304)</f>
        <v>261</v>
      </c>
      <c r="V305" s="8">
        <f>SUM(V289:V304)</f>
        <v>316.72000000000003</v>
      </c>
      <c r="W305" s="8">
        <f>SUM(W289:W304)</f>
        <v>2307</v>
      </c>
      <c r="Y305" s="2" t="s">
        <v>649</v>
      </c>
      <c r="Z305" s="14"/>
      <c r="AA305" s="14"/>
      <c r="AB305" s="14"/>
    </row>
    <row r="306" spans="1:28" x14ac:dyDescent="0.25">
      <c r="A306" s="72" t="s">
        <v>39</v>
      </c>
      <c r="B306" s="72"/>
      <c r="C306" s="8">
        <f>SUM(C289:C305)</f>
        <v>257</v>
      </c>
      <c r="D306" s="8">
        <f>SUM(D289:D305)</f>
        <v>239.00000000000003</v>
      </c>
      <c r="E306" s="8">
        <f>SUM(E289:E305)</f>
        <v>2196.7199999999998</v>
      </c>
      <c r="G306" s="72" t="s">
        <v>39</v>
      </c>
      <c r="H306" s="72"/>
      <c r="I306" s="8">
        <f>SUM(I289:I305)</f>
        <v>266</v>
      </c>
      <c r="J306" s="8">
        <f>SUM(J289:J305)</f>
        <v>241.83000000000004</v>
      </c>
      <c r="K306" s="8">
        <f>SUM(K289:K305)</f>
        <v>2180.15</v>
      </c>
      <c r="M306" s="72" t="s">
        <v>39</v>
      </c>
      <c r="N306" s="72"/>
      <c r="O306" s="8">
        <f>SUM(O289:O305)</f>
        <v>258</v>
      </c>
      <c r="P306" s="8">
        <f>SUM(P289:P305)</f>
        <v>335.43</v>
      </c>
      <c r="Q306" s="137">
        <f>SUM(Q289:Q305)</f>
        <v>2259.4299999999998</v>
      </c>
      <c r="S306" s="72"/>
      <c r="T306" s="72"/>
      <c r="U306" s="7"/>
      <c r="V306" s="7"/>
      <c r="W306" s="7"/>
      <c r="Y306" s="127" t="s">
        <v>1184</v>
      </c>
      <c r="Z306" s="203">
        <f>AVERAGE(Z292:Z305)</f>
        <v>19.96153846153846</v>
      </c>
      <c r="AA306" s="203">
        <f>AVERAGE(AA292:AA305)</f>
        <v>21.788076923076922</v>
      </c>
      <c r="AB306" s="203">
        <f>AVERAGE(AB292:AB305)</f>
        <v>171.49442307692306</v>
      </c>
    </row>
    <row r="307" spans="1:28" x14ac:dyDescent="0.25">
      <c r="A307" s="72"/>
      <c r="B307" s="72"/>
      <c r="C307" s="7"/>
      <c r="D307" s="7"/>
      <c r="E307" s="7"/>
      <c r="G307" s="72"/>
      <c r="H307" s="72"/>
      <c r="I307" s="7"/>
      <c r="J307" s="7"/>
      <c r="K307" s="7"/>
      <c r="M307" s="72"/>
      <c r="N307" s="72"/>
      <c r="O307" s="7"/>
      <c r="P307" s="7"/>
      <c r="Q307" s="7"/>
      <c r="S307" s="72"/>
      <c r="T307" s="6">
        <v>1</v>
      </c>
      <c r="U307" s="95">
        <f>SUM(U291:U296)</f>
        <v>121</v>
      </c>
      <c r="V307" s="95">
        <f>SUM(V291:V296)</f>
        <v>98.86</v>
      </c>
      <c r="W307" s="95">
        <f>SUM(W291:W296)</f>
        <v>1056.44</v>
      </c>
    </row>
    <row r="308" spans="1:28" ht="30" x14ac:dyDescent="0.25">
      <c r="A308" s="72"/>
      <c r="B308" s="6" t="s">
        <v>477</v>
      </c>
      <c r="C308" s="131">
        <f>SUM(C291:C295)</f>
        <v>70</v>
      </c>
      <c r="D308" s="131">
        <f>SUM(D291:D295)</f>
        <v>66.009999999999991</v>
      </c>
      <c r="E308" s="131">
        <f>SUM(E291:E295)</f>
        <v>639.86</v>
      </c>
      <c r="G308" s="72"/>
      <c r="H308" s="6">
        <v>1</v>
      </c>
      <c r="I308" s="131">
        <f>SUM(I291:I295)</f>
        <v>76</v>
      </c>
      <c r="J308" s="95">
        <f t="shared" ref="J308:K308" si="129">SUM(J291:J295)</f>
        <v>41.99</v>
      </c>
      <c r="K308" s="131">
        <f t="shared" si="129"/>
        <v>607.57000000000005</v>
      </c>
      <c r="M308" s="72"/>
      <c r="N308" s="6">
        <v>1</v>
      </c>
      <c r="O308" s="95">
        <f>SUM(O291:O295)</f>
        <v>72</v>
      </c>
      <c r="P308" s="95">
        <f t="shared" ref="P308:Q308" si="130">SUM(P291:P295)</f>
        <v>69.86</v>
      </c>
      <c r="Q308" s="95">
        <f t="shared" si="130"/>
        <v>604.42999999999995</v>
      </c>
      <c r="S308" s="68" t="s">
        <v>50</v>
      </c>
      <c r="T308" s="87">
        <v>2</v>
      </c>
      <c r="U308" s="93">
        <f>SUM(U297:U303)</f>
        <v>140</v>
      </c>
      <c r="V308" s="93">
        <f>SUM(V297:V303)</f>
        <v>217.85999999999999</v>
      </c>
      <c r="W308" s="93">
        <f>SUM(W297:W303)</f>
        <v>1245.1300000000001</v>
      </c>
    </row>
    <row r="309" spans="1:28" ht="30" x14ac:dyDescent="0.25">
      <c r="A309" s="68" t="s">
        <v>50</v>
      </c>
      <c r="B309" s="87" t="s">
        <v>478</v>
      </c>
      <c r="C309" s="131">
        <f>SUM(C296:C299)</f>
        <v>76</v>
      </c>
      <c r="D309" s="131">
        <f>SUM(D296:D299)</f>
        <v>82.13</v>
      </c>
      <c r="E309" s="131">
        <f>SUM(E296:E299)</f>
        <v>702.86</v>
      </c>
      <c r="G309" s="68" t="s">
        <v>50</v>
      </c>
      <c r="H309" s="87">
        <v>2</v>
      </c>
      <c r="I309" s="95">
        <f>SUM(I296:I299)</f>
        <v>85</v>
      </c>
      <c r="J309" s="93">
        <f t="shared" ref="J309:K309" si="131">SUM(J296:J299)</f>
        <v>102.99000000000001</v>
      </c>
      <c r="K309" s="95">
        <f t="shared" si="131"/>
        <v>725.86</v>
      </c>
      <c r="M309" s="68" t="s">
        <v>50</v>
      </c>
      <c r="N309" s="87">
        <v>2</v>
      </c>
      <c r="O309" s="95">
        <f>SUM(O296:O299)</f>
        <v>81</v>
      </c>
      <c r="P309" s="93">
        <f t="shared" ref="P309:Q309" si="132">SUM(P296:P299)</f>
        <v>139.72</v>
      </c>
      <c r="Q309" s="95">
        <f t="shared" si="132"/>
        <v>786</v>
      </c>
      <c r="S309" s="72"/>
      <c r="T309" s="6"/>
      <c r="U309" s="223"/>
      <c r="V309" s="223"/>
      <c r="W309" s="223"/>
    </row>
    <row r="310" spans="1:28" ht="30" x14ac:dyDescent="0.25">
      <c r="A310" s="72"/>
      <c r="B310" s="6" t="s">
        <v>479</v>
      </c>
      <c r="C310" s="93">
        <f>SUM(C300:C304)</f>
        <v>110</v>
      </c>
      <c r="D310" s="93">
        <f>SUM(D300:D304)</f>
        <v>90.86</v>
      </c>
      <c r="E310" s="93">
        <f>SUM(E300:E304)</f>
        <v>848.56999999999994</v>
      </c>
      <c r="G310" s="72"/>
      <c r="H310" s="6">
        <v>3</v>
      </c>
      <c r="I310" s="93">
        <f>SUM(I300:I304)</f>
        <v>105</v>
      </c>
      <c r="J310" s="95">
        <f t="shared" ref="J310:K310" si="133">SUM(J300:J304)</f>
        <v>96.85</v>
      </c>
      <c r="K310" s="93">
        <f t="shared" si="133"/>
        <v>841.29</v>
      </c>
      <c r="M310" s="72"/>
      <c r="N310" s="6">
        <v>3</v>
      </c>
      <c r="O310" s="93">
        <f>SUM(O300:O304)</f>
        <v>105</v>
      </c>
      <c r="P310" s="95">
        <f t="shared" ref="P310:Q310" si="134">SUM(P300:P304)</f>
        <v>125.85</v>
      </c>
      <c r="Q310" s="93">
        <f t="shared" si="134"/>
        <v>863.56999999999994</v>
      </c>
      <c r="S310" s="68" t="s">
        <v>50</v>
      </c>
      <c r="T310" s="66"/>
      <c r="U310" s="66"/>
      <c r="V310" s="66">
        <v>46</v>
      </c>
      <c r="W310" s="66">
        <f>SUM(V305/V310)</f>
        <v>6.8852173913043488</v>
      </c>
    </row>
    <row r="311" spans="1:28" ht="30" x14ac:dyDescent="0.25">
      <c r="A311" s="68" t="s">
        <v>50</v>
      </c>
      <c r="B311" s="6"/>
      <c r="C311" s="66"/>
      <c r="D311" s="66">
        <v>52</v>
      </c>
      <c r="E311" s="224">
        <f>SUM(D306/D311)</f>
        <v>4.5961538461538467</v>
      </c>
      <c r="G311" s="68" t="s">
        <v>50</v>
      </c>
      <c r="H311" s="6"/>
      <c r="I311" s="66"/>
      <c r="J311" s="66">
        <v>65</v>
      </c>
      <c r="K311" s="224">
        <f>SUM(J306/J311)</f>
        <v>3.7204615384615392</v>
      </c>
      <c r="L311" s="66"/>
      <c r="M311" s="68" t="s">
        <v>50</v>
      </c>
      <c r="N311" s="6"/>
      <c r="O311" s="66"/>
      <c r="P311" s="66">
        <v>47</v>
      </c>
      <c r="Q311" s="224">
        <f>SUM(P306/P311)</f>
        <v>7.1368085106382981</v>
      </c>
      <c r="R311" s="66"/>
      <c r="S311" s="72" t="s">
        <v>41</v>
      </c>
      <c r="T311" s="6"/>
      <c r="U311" s="8"/>
      <c r="V311" s="8"/>
      <c r="W311" s="8"/>
    </row>
    <row r="312" spans="1:28" x14ac:dyDescent="0.25">
      <c r="A312" s="72" t="s">
        <v>41</v>
      </c>
      <c r="B312" s="6"/>
      <c r="C312" s="8"/>
      <c r="D312" s="8"/>
      <c r="E312" s="8"/>
      <c r="G312" s="72" t="s">
        <v>41</v>
      </c>
      <c r="H312" s="6"/>
      <c r="I312" s="8"/>
      <c r="J312" s="8"/>
      <c r="K312" s="8"/>
      <c r="L312" s="8"/>
      <c r="M312" s="72" t="s">
        <v>41</v>
      </c>
      <c r="N312" s="6"/>
      <c r="O312" s="8"/>
      <c r="P312" s="8"/>
      <c r="Q312" s="8"/>
      <c r="R312" s="8"/>
      <c r="U312" s="12" t="e">
        <f>#REF!-#REF!</f>
        <v>#REF!</v>
      </c>
      <c r="V312" s="12" t="e">
        <f>#REF!-#REF!</f>
        <v>#REF!</v>
      </c>
      <c r="W312" s="12" t="e">
        <f>#REF!-#REF!</f>
        <v>#REF!</v>
      </c>
    </row>
    <row r="313" spans="1:28" x14ac:dyDescent="0.25">
      <c r="C313" s="12" t="e">
        <f>#REF!-#REF!</f>
        <v>#REF!</v>
      </c>
      <c r="D313" s="12" t="e">
        <f>#REF!-#REF!</f>
        <v>#REF!</v>
      </c>
      <c r="E313" s="12" t="e">
        <f>#REF!-#REF!</f>
        <v>#REF!</v>
      </c>
      <c r="I313" s="12" t="e">
        <f>#REF!-#REF!</f>
        <v>#REF!</v>
      </c>
      <c r="J313" s="12" t="e">
        <f>#REF!-#REF!</f>
        <v>#REF!</v>
      </c>
      <c r="K313" s="12" t="e">
        <f>#REF!-#REF!</f>
        <v>#REF!</v>
      </c>
      <c r="L313" s="12"/>
      <c r="O313" s="12" t="e">
        <f>#REF!-#REF!</f>
        <v>#REF!</v>
      </c>
      <c r="P313" s="12" t="e">
        <f>#REF!-#REF!</f>
        <v>#REF!</v>
      </c>
      <c r="Q313" s="12" t="e">
        <f>#REF!-#REF!</f>
        <v>#REF!</v>
      </c>
      <c r="R313" s="12"/>
      <c r="U313" s="12"/>
      <c r="V313" s="12"/>
      <c r="W313" s="12"/>
    </row>
    <row r="315" spans="1:28" ht="18.75" x14ac:dyDescent="0.3">
      <c r="A315" s="69" t="s">
        <v>1172</v>
      </c>
      <c r="B315" s="4"/>
      <c r="C315" s="10"/>
      <c r="D315" s="10"/>
      <c r="E315" s="10"/>
      <c r="G315" s="69" t="s">
        <v>1173</v>
      </c>
      <c r="H315" s="4"/>
      <c r="I315" s="10"/>
      <c r="J315" s="10"/>
      <c r="K315" s="10"/>
      <c r="M315" s="69" t="s">
        <v>1174</v>
      </c>
      <c r="N315" s="4"/>
      <c r="O315" s="10"/>
      <c r="P315" s="10"/>
      <c r="Q315" s="10"/>
      <c r="S315" s="69" t="s">
        <v>1175</v>
      </c>
      <c r="T315" s="4"/>
      <c r="U315" s="10"/>
      <c r="V315" s="10"/>
      <c r="W315" s="10"/>
      <c r="Y315" t="s">
        <v>1140</v>
      </c>
    </row>
    <row r="316" spans="1:28" ht="45" x14ac:dyDescent="0.25">
      <c r="A316" s="70"/>
      <c r="B316" s="70"/>
      <c r="C316" s="71" t="s">
        <v>26</v>
      </c>
      <c r="D316" s="71" t="s">
        <v>27</v>
      </c>
      <c r="E316" s="71" t="s">
        <v>28</v>
      </c>
      <c r="G316" s="70"/>
      <c r="H316" s="70"/>
      <c r="I316" s="71" t="s">
        <v>26</v>
      </c>
      <c r="J316" s="71" t="s">
        <v>27</v>
      </c>
      <c r="K316" s="71" t="s">
        <v>28</v>
      </c>
      <c r="M316" s="70"/>
      <c r="N316" s="70"/>
      <c r="O316" s="71" t="s">
        <v>26</v>
      </c>
      <c r="P316" s="71" t="s">
        <v>27</v>
      </c>
      <c r="Q316" s="71" t="s">
        <v>28</v>
      </c>
      <c r="S316" s="70"/>
      <c r="T316" s="70"/>
      <c r="U316" s="71" t="s">
        <v>26</v>
      </c>
      <c r="V316" s="71" t="s">
        <v>27</v>
      </c>
      <c r="W316" s="71" t="s">
        <v>28</v>
      </c>
      <c r="Y316" s="124" t="s">
        <v>685</v>
      </c>
      <c r="Z316" s="71" t="s">
        <v>26</v>
      </c>
      <c r="AA316" s="71" t="s">
        <v>27</v>
      </c>
      <c r="AB316" s="71" t="s">
        <v>28</v>
      </c>
    </row>
    <row r="317" spans="1:28" x14ac:dyDescent="0.25">
      <c r="A317" s="90" t="s">
        <v>29</v>
      </c>
      <c r="B317" s="90"/>
      <c r="C317" s="91">
        <v>21</v>
      </c>
      <c r="D317" s="91">
        <v>12.14</v>
      </c>
      <c r="E317" s="91">
        <v>194.71</v>
      </c>
      <c r="G317" s="90" t="s">
        <v>29</v>
      </c>
      <c r="H317" s="90"/>
      <c r="I317" s="91">
        <v>17</v>
      </c>
      <c r="J317" s="91">
        <v>26.29</v>
      </c>
      <c r="K317" s="91">
        <v>204</v>
      </c>
      <c r="M317" s="90" t="s">
        <v>29</v>
      </c>
      <c r="N317" s="90"/>
      <c r="O317" s="91">
        <v>18</v>
      </c>
      <c r="P317" s="91">
        <v>22.14</v>
      </c>
      <c r="Q317" s="91">
        <v>208.43</v>
      </c>
      <c r="S317" s="90" t="s">
        <v>29</v>
      </c>
      <c r="T317" s="90"/>
      <c r="U317" s="91">
        <v>21</v>
      </c>
      <c r="V317" s="91">
        <v>-2</v>
      </c>
      <c r="W317" s="91">
        <v>185.86</v>
      </c>
      <c r="Y317" s="90" t="s">
        <v>29</v>
      </c>
      <c r="Z317" s="201">
        <f t="shared" ref="Z317:AB320" si="135">AVERAGE(O317,I317,C317,U317)</f>
        <v>19.25</v>
      </c>
      <c r="AA317" s="225">
        <f t="shared" si="135"/>
        <v>14.6425</v>
      </c>
      <c r="AB317" s="225">
        <f t="shared" si="135"/>
        <v>198.25</v>
      </c>
    </row>
    <row r="318" spans="1:28" x14ac:dyDescent="0.25">
      <c r="A318" s="90" t="s">
        <v>35</v>
      </c>
      <c r="B318" s="90"/>
      <c r="C318" s="91">
        <v>24</v>
      </c>
      <c r="D318" s="91">
        <v>35.57</v>
      </c>
      <c r="E318" s="91">
        <v>192.29</v>
      </c>
      <c r="G318" s="90" t="s">
        <v>35</v>
      </c>
      <c r="H318" s="90"/>
      <c r="I318" s="91">
        <v>23</v>
      </c>
      <c r="J318" s="91">
        <v>21.43</v>
      </c>
      <c r="K318" s="91">
        <v>191.57</v>
      </c>
      <c r="M318" s="90" t="s">
        <v>35</v>
      </c>
      <c r="N318" s="90"/>
      <c r="O318" s="91">
        <v>22</v>
      </c>
      <c r="P318" s="91">
        <v>11.14</v>
      </c>
      <c r="Q318" s="91">
        <v>180.86</v>
      </c>
      <c r="S318" s="90" t="s">
        <v>35</v>
      </c>
      <c r="T318" s="90"/>
      <c r="U318" s="91">
        <v>22</v>
      </c>
      <c r="V318" s="91">
        <v>11.57</v>
      </c>
      <c r="W318" s="91">
        <v>170.57</v>
      </c>
      <c r="Y318" s="90" t="s">
        <v>35</v>
      </c>
      <c r="Z318" s="225">
        <f t="shared" si="135"/>
        <v>22.75</v>
      </c>
      <c r="AA318" s="225">
        <f t="shared" si="135"/>
        <v>19.927500000000002</v>
      </c>
      <c r="AB318" s="225">
        <f t="shared" si="135"/>
        <v>183.82249999999999</v>
      </c>
    </row>
    <row r="319" spans="1:28" x14ac:dyDescent="0.25">
      <c r="A319" s="90" t="s">
        <v>32</v>
      </c>
      <c r="B319" s="90"/>
      <c r="C319" s="91">
        <v>28</v>
      </c>
      <c r="D319" s="91">
        <v>23.57</v>
      </c>
      <c r="E319" s="91">
        <v>181.14</v>
      </c>
      <c r="G319" s="90" t="s">
        <v>32</v>
      </c>
      <c r="H319" s="90"/>
      <c r="I319" s="91">
        <v>28</v>
      </c>
      <c r="J319" s="91">
        <v>-1.1399999999999999</v>
      </c>
      <c r="K319" s="91">
        <v>153.13999999999999</v>
      </c>
      <c r="M319" s="90" t="s">
        <v>32</v>
      </c>
      <c r="N319" s="90"/>
      <c r="O319" s="91">
        <v>27</v>
      </c>
      <c r="P319" s="91">
        <v>35.14</v>
      </c>
      <c r="Q319" s="91">
        <v>162.71</v>
      </c>
      <c r="S319" s="90" t="s">
        <v>32</v>
      </c>
      <c r="T319" s="90"/>
      <c r="U319" s="91">
        <v>22</v>
      </c>
      <c r="V319" s="91">
        <v>18.86</v>
      </c>
      <c r="W319" s="91">
        <v>159.29</v>
      </c>
      <c r="Y319" s="90" t="s">
        <v>32</v>
      </c>
      <c r="Z319" s="225">
        <f t="shared" si="135"/>
        <v>26.25</v>
      </c>
      <c r="AA319" s="225">
        <f t="shared" si="135"/>
        <v>19.107500000000002</v>
      </c>
      <c r="AB319" s="225">
        <f t="shared" si="135"/>
        <v>164.07</v>
      </c>
    </row>
    <row r="320" spans="1:28" x14ac:dyDescent="0.25">
      <c r="A320" s="123" t="s">
        <v>31</v>
      </c>
      <c r="B320" s="90"/>
      <c r="C320" s="91">
        <v>2</v>
      </c>
      <c r="D320" s="91">
        <v>0</v>
      </c>
      <c r="E320" s="91">
        <v>9.43</v>
      </c>
      <c r="G320" s="123" t="s">
        <v>31</v>
      </c>
      <c r="H320" s="90"/>
      <c r="I320" s="91">
        <v>2</v>
      </c>
      <c r="J320" s="91">
        <v>0</v>
      </c>
      <c r="K320" s="91">
        <v>7.43</v>
      </c>
      <c r="M320" s="123" t="s">
        <v>31</v>
      </c>
      <c r="N320" s="90"/>
      <c r="O320" s="91">
        <v>2</v>
      </c>
      <c r="P320" s="91">
        <v>0</v>
      </c>
      <c r="Q320" s="91">
        <v>5.43</v>
      </c>
      <c r="S320" s="123" t="s">
        <v>31</v>
      </c>
      <c r="T320" s="90"/>
      <c r="U320" s="91">
        <v>2</v>
      </c>
      <c r="V320" s="91">
        <v>0</v>
      </c>
      <c r="W320" s="91">
        <v>3.71</v>
      </c>
      <c r="Y320" s="90" t="s">
        <v>31</v>
      </c>
      <c r="Z320" s="201">
        <f t="shared" si="135"/>
        <v>2</v>
      </c>
      <c r="AA320" s="201">
        <f t="shared" si="135"/>
        <v>0</v>
      </c>
      <c r="AB320" s="201">
        <f t="shared" si="135"/>
        <v>6.5</v>
      </c>
    </row>
    <row r="321" spans="1:28" x14ac:dyDescent="0.25">
      <c r="A321" s="90" t="s">
        <v>11</v>
      </c>
      <c r="B321" s="90"/>
      <c r="C321" s="91">
        <v>24</v>
      </c>
      <c r="D321" s="91">
        <v>12.14</v>
      </c>
      <c r="E321" s="91">
        <v>228.57</v>
      </c>
      <c r="G321" s="90" t="s">
        <v>11</v>
      </c>
      <c r="H321" s="90"/>
      <c r="I321" s="91">
        <v>24</v>
      </c>
      <c r="J321" s="91">
        <v>20.86</v>
      </c>
      <c r="K321" s="91">
        <v>226.29</v>
      </c>
      <c r="M321" s="90" t="s">
        <v>11</v>
      </c>
      <c r="N321" s="90"/>
      <c r="O321" s="91">
        <v>26</v>
      </c>
      <c r="P321" s="91">
        <v>1.86</v>
      </c>
      <c r="Q321" s="91">
        <v>203.86</v>
      </c>
      <c r="S321" s="90" t="s">
        <v>11</v>
      </c>
      <c r="T321" s="90"/>
      <c r="U321" s="91">
        <v>26</v>
      </c>
      <c r="V321" s="91">
        <v>7.14</v>
      </c>
      <c r="W321" s="91">
        <v>185</v>
      </c>
      <c r="Y321" s="90" t="s">
        <v>11</v>
      </c>
      <c r="Z321" s="225">
        <f t="shared" ref="Z321:Z329" si="136">AVERAGE(O321,I321,C321,U321)</f>
        <v>25</v>
      </c>
      <c r="AA321" s="225">
        <f>AVERAGE(P322,J322,D322,V322)</f>
        <v>19.93</v>
      </c>
      <c r="AB321" s="225">
        <f>AVERAGE(Q322,K322,E322,W322)</f>
        <v>242.32250000000002</v>
      </c>
    </row>
    <row r="322" spans="1:28" x14ac:dyDescent="0.25">
      <c r="A322" s="90" t="s">
        <v>48</v>
      </c>
      <c r="B322" s="90"/>
      <c r="C322" s="91">
        <v>17</v>
      </c>
      <c r="D322" s="91">
        <v>23</v>
      </c>
      <c r="E322" s="91">
        <v>242.86</v>
      </c>
      <c r="G322" s="90" t="s">
        <v>48</v>
      </c>
      <c r="H322" s="90"/>
      <c r="I322" s="91">
        <v>20</v>
      </c>
      <c r="J322" s="91">
        <v>18.29</v>
      </c>
      <c r="K322" s="91">
        <v>242.14</v>
      </c>
      <c r="M322" s="90" t="s">
        <v>48</v>
      </c>
      <c r="N322" s="90"/>
      <c r="O322" s="91">
        <v>21</v>
      </c>
      <c r="P322" s="91">
        <v>20</v>
      </c>
      <c r="Q322" s="91">
        <v>242.43</v>
      </c>
      <c r="S322" s="90" t="s">
        <v>48</v>
      </c>
      <c r="T322" s="90"/>
      <c r="U322" s="91">
        <v>19</v>
      </c>
      <c r="V322" s="91">
        <v>18.43</v>
      </c>
      <c r="W322" s="91">
        <v>241.86</v>
      </c>
      <c r="Y322" s="90" t="s">
        <v>48</v>
      </c>
      <c r="Z322" s="225">
        <f t="shared" si="136"/>
        <v>19.25</v>
      </c>
      <c r="AA322" s="201">
        <f>AVERAGE(P324,J324,D324,V324)</f>
        <v>10.68</v>
      </c>
      <c r="AB322" s="201">
        <f>AVERAGE(Q324,K324,E324,W324)</f>
        <v>145.0025</v>
      </c>
    </row>
    <row r="323" spans="1:28" x14ac:dyDescent="0.25">
      <c r="A323" s="27" t="s">
        <v>36</v>
      </c>
      <c r="B323" s="27"/>
      <c r="C323" s="28">
        <v>21</v>
      </c>
      <c r="D323" s="28">
        <v>48.29</v>
      </c>
      <c r="E323" s="28">
        <v>216.71</v>
      </c>
      <c r="G323" s="27" t="s">
        <v>36</v>
      </c>
      <c r="H323" s="27"/>
      <c r="I323" s="28">
        <v>25</v>
      </c>
      <c r="J323" s="28">
        <v>38</v>
      </c>
      <c r="K323" s="28">
        <v>230.14</v>
      </c>
      <c r="M323" s="27" t="s">
        <v>36</v>
      </c>
      <c r="N323" s="27"/>
      <c r="O323" s="28">
        <v>27</v>
      </c>
      <c r="P323" s="28">
        <v>2.71</v>
      </c>
      <c r="Q323" s="28">
        <v>206.14</v>
      </c>
      <c r="S323" s="27" t="s">
        <v>36</v>
      </c>
      <c r="T323" s="27"/>
      <c r="U323" s="28">
        <v>28</v>
      </c>
      <c r="V323" s="28">
        <v>27.29</v>
      </c>
      <c r="W323" s="28">
        <v>207.57</v>
      </c>
      <c r="Y323" s="27" t="s">
        <v>36</v>
      </c>
      <c r="Z323" s="225">
        <f t="shared" si="136"/>
        <v>25.25</v>
      </c>
      <c r="AA323" s="225">
        <f t="shared" ref="AA323:AB330" si="137">AVERAGE(P323,J323,D323,V323)</f>
        <v>29.072499999999998</v>
      </c>
      <c r="AB323" s="225">
        <f t="shared" si="137"/>
        <v>215.14</v>
      </c>
    </row>
    <row r="324" spans="1:28" x14ac:dyDescent="0.25">
      <c r="A324" s="27" t="s">
        <v>481</v>
      </c>
      <c r="B324" s="27"/>
      <c r="C324" s="28">
        <v>16</v>
      </c>
      <c r="D324" s="28">
        <v>8.57</v>
      </c>
      <c r="E324" s="28">
        <v>151.29</v>
      </c>
      <c r="G324" s="27" t="s">
        <v>481</v>
      </c>
      <c r="H324" s="27"/>
      <c r="I324" s="28">
        <v>16</v>
      </c>
      <c r="J324" s="28">
        <v>15.86</v>
      </c>
      <c r="K324" s="28">
        <v>151.29</v>
      </c>
      <c r="M324" s="27" t="s">
        <v>481</v>
      </c>
      <c r="N324" s="27"/>
      <c r="O324" s="28">
        <v>20</v>
      </c>
      <c r="P324" s="28">
        <v>12.43</v>
      </c>
      <c r="Q324" s="28">
        <v>145</v>
      </c>
      <c r="S324" s="27" t="s">
        <v>481</v>
      </c>
      <c r="T324" s="27"/>
      <c r="U324" s="28">
        <v>19</v>
      </c>
      <c r="V324" s="28">
        <v>5.86</v>
      </c>
      <c r="W324" s="28">
        <v>132.43</v>
      </c>
      <c r="Y324" s="27" t="s">
        <v>690</v>
      </c>
      <c r="Z324" s="188">
        <f t="shared" si="136"/>
        <v>17.75</v>
      </c>
      <c r="AA324" s="188">
        <f t="shared" si="137"/>
        <v>10.68</v>
      </c>
      <c r="AB324" s="188">
        <f t="shared" si="137"/>
        <v>145.0025</v>
      </c>
    </row>
    <row r="325" spans="1:28" x14ac:dyDescent="0.25">
      <c r="A325" s="27" t="s">
        <v>37</v>
      </c>
      <c r="B325" s="27"/>
      <c r="C325" s="28">
        <v>18</v>
      </c>
      <c r="D325" s="28">
        <v>24.86</v>
      </c>
      <c r="E325" s="28">
        <v>206</v>
      </c>
      <c r="G325" s="27" t="s">
        <v>37</v>
      </c>
      <c r="H325" s="27"/>
      <c r="I325" s="28">
        <v>18</v>
      </c>
      <c r="J325" s="28">
        <v>22.29</v>
      </c>
      <c r="K325" s="28">
        <v>210.86</v>
      </c>
      <c r="M325" s="27" t="s">
        <v>37</v>
      </c>
      <c r="N325" s="27"/>
      <c r="O325" s="28">
        <v>23</v>
      </c>
      <c r="P325" s="28">
        <v>13.71</v>
      </c>
      <c r="Q325" s="28">
        <v>202</v>
      </c>
      <c r="S325" s="27" t="s">
        <v>37</v>
      </c>
      <c r="T325" s="27"/>
      <c r="U325" s="28">
        <v>25</v>
      </c>
      <c r="V325" s="28">
        <v>24.14</v>
      </c>
      <c r="W325" s="28">
        <v>201.43</v>
      </c>
      <c r="Y325" s="27" t="s">
        <v>37</v>
      </c>
      <c r="Z325" s="225">
        <f t="shared" si="136"/>
        <v>21</v>
      </c>
      <c r="AA325" s="225">
        <f t="shared" si="137"/>
        <v>21.25</v>
      </c>
      <c r="AB325" s="225">
        <f t="shared" si="137"/>
        <v>205.07249999999999</v>
      </c>
    </row>
    <row r="326" spans="1:28" x14ac:dyDescent="0.25">
      <c r="A326" s="27" t="s">
        <v>9</v>
      </c>
      <c r="B326" s="27"/>
      <c r="C326" s="28">
        <v>20</v>
      </c>
      <c r="D326" s="28">
        <v>9.86</v>
      </c>
      <c r="E326" s="28">
        <v>133.86000000000001</v>
      </c>
      <c r="G326" s="27" t="s">
        <v>9</v>
      </c>
      <c r="H326" s="27"/>
      <c r="I326" s="28">
        <v>15</v>
      </c>
      <c r="J326" s="28">
        <v>-1</v>
      </c>
      <c r="K326" s="28">
        <v>109</v>
      </c>
      <c r="M326" s="27" t="s">
        <v>9</v>
      </c>
      <c r="N326" s="27"/>
      <c r="O326" s="28">
        <v>12</v>
      </c>
      <c r="P326" s="28">
        <v>20.71</v>
      </c>
      <c r="Q326" s="28">
        <v>118.14</v>
      </c>
      <c r="S326" s="27" t="s">
        <v>9</v>
      </c>
      <c r="T326" s="27"/>
      <c r="U326" s="28">
        <v>13</v>
      </c>
      <c r="V326" s="28">
        <v>0</v>
      </c>
      <c r="W326" s="28">
        <v>112.14</v>
      </c>
      <c r="Y326" s="27" t="s">
        <v>9</v>
      </c>
      <c r="Z326" s="188">
        <f t="shared" si="136"/>
        <v>15</v>
      </c>
      <c r="AA326" s="188">
        <f t="shared" si="137"/>
        <v>7.3925000000000001</v>
      </c>
      <c r="AB326" s="188">
        <f t="shared" si="137"/>
        <v>118.285</v>
      </c>
    </row>
    <row r="327" spans="1:28" x14ac:dyDescent="0.25">
      <c r="A327" s="27" t="s">
        <v>12</v>
      </c>
      <c r="B327" s="27"/>
      <c r="C327" s="28">
        <v>21</v>
      </c>
      <c r="D327" s="28">
        <v>18.14</v>
      </c>
      <c r="E327" s="28">
        <v>186.57</v>
      </c>
      <c r="G327" s="27" t="s">
        <v>12</v>
      </c>
      <c r="H327" s="27"/>
      <c r="I327" s="28">
        <v>15</v>
      </c>
      <c r="J327" s="28">
        <v>-1.1399999999999999</v>
      </c>
      <c r="K327" s="28">
        <v>178.57</v>
      </c>
      <c r="M327" s="27" t="s">
        <v>12</v>
      </c>
      <c r="N327" s="27"/>
      <c r="O327" s="28">
        <v>17</v>
      </c>
      <c r="P327" s="28">
        <v>10.14</v>
      </c>
      <c r="Q327" s="28">
        <v>172.71</v>
      </c>
      <c r="S327" s="27" t="s">
        <v>12</v>
      </c>
      <c r="T327" s="27"/>
      <c r="U327" s="28">
        <v>15</v>
      </c>
      <c r="V327" s="28">
        <v>6.71</v>
      </c>
      <c r="W327" s="28">
        <v>157.71</v>
      </c>
      <c r="Y327" s="27" t="s">
        <v>12</v>
      </c>
      <c r="Z327" s="188">
        <f t="shared" si="136"/>
        <v>17</v>
      </c>
      <c r="AA327" s="188">
        <f t="shared" si="137"/>
        <v>8.4625000000000004</v>
      </c>
      <c r="AB327" s="225">
        <f t="shared" si="137"/>
        <v>173.89</v>
      </c>
    </row>
    <row r="328" spans="1:28" x14ac:dyDescent="0.25">
      <c r="A328" s="27" t="s">
        <v>10</v>
      </c>
      <c r="B328" s="27"/>
      <c r="C328" s="28">
        <v>24</v>
      </c>
      <c r="D328" s="28">
        <v>16.29</v>
      </c>
      <c r="E328" s="28">
        <v>222.29</v>
      </c>
      <c r="G328" s="27" t="s">
        <v>10</v>
      </c>
      <c r="H328" s="27"/>
      <c r="I328" s="28">
        <v>23</v>
      </c>
      <c r="J328" s="28">
        <v>16.57</v>
      </c>
      <c r="K328" s="28">
        <v>215.71</v>
      </c>
      <c r="M328" s="27" t="s">
        <v>10</v>
      </c>
      <c r="N328" s="27"/>
      <c r="O328" s="28">
        <v>24</v>
      </c>
      <c r="P328" s="28">
        <v>13.86</v>
      </c>
      <c r="Q328" s="28">
        <v>205.14</v>
      </c>
      <c r="S328" s="27" t="s">
        <v>10</v>
      </c>
      <c r="T328" s="27"/>
      <c r="U328" s="28">
        <v>25</v>
      </c>
      <c r="V328" s="28">
        <v>80.430000000000007</v>
      </c>
      <c r="W328" s="28">
        <v>259.57</v>
      </c>
      <c r="Y328" s="27" t="s">
        <v>10</v>
      </c>
      <c r="Z328" s="225">
        <f t="shared" si="136"/>
        <v>24</v>
      </c>
      <c r="AA328" s="188">
        <f t="shared" si="137"/>
        <v>31.787500000000001</v>
      </c>
      <c r="AB328" s="225">
        <f t="shared" si="137"/>
        <v>225.67750000000001</v>
      </c>
    </row>
    <row r="329" spans="1:28" x14ac:dyDescent="0.25">
      <c r="A329" s="27" t="s">
        <v>672</v>
      </c>
      <c r="B329" s="27"/>
      <c r="C329" s="28">
        <v>12</v>
      </c>
      <c r="D329" s="28">
        <v>4.1399999999999997</v>
      </c>
      <c r="E329" s="28">
        <v>131</v>
      </c>
      <c r="G329" s="27" t="s">
        <v>672</v>
      </c>
      <c r="H329" s="27"/>
      <c r="I329" s="28">
        <v>13</v>
      </c>
      <c r="J329" s="28">
        <v>6.14</v>
      </c>
      <c r="K329" s="28">
        <v>124.29</v>
      </c>
      <c r="M329" s="27" t="s">
        <v>672</v>
      </c>
      <c r="N329" s="27"/>
      <c r="O329" s="28">
        <v>13</v>
      </c>
      <c r="P329" s="28">
        <v>29.29</v>
      </c>
      <c r="Q329" s="28">
        <v>140.57</v>
      </c>
      <c r="S329" s="27" t="s">
        <v>672</v>
      </c>
      <c r="T329" s="27"/>
      <c r="U329" s="28">
        <v>13</v>
      </c>
      <c r="V329" s="28">
        <v>5.14</v>
      </c>
      <c r="W329" s="28">
        <v>132.43</v>
      </c>
      <c r="Y329" s="27" t="s">
        <v>672</v>
      </c>
      <c r="Z329" s="188">
        <f t="shared" si="136"/>
        <v>12.75</v>
      </c>
      <c r="AA329" s="188">
        <f t="shared" si="137"/>
        <v>11.1775</v>
      </c>
      <c r="AB329" s="188">
        <f t="shared" si="137"/>
        <v>132.07249999999999</v>
      </c>
    </row>
    <row r="330" spans="1:28" x14ac:dyDescent="0.25">
      <c r="A330" s="2" t="s">
        <v>649</v>
      </c>
      <c r="B330" s="2"/>
      <c r="C330" s="28"/>
      <c r="D330" s="28"/>
      <c r="E330" s="28">
        <v>5.43</v>
      </c>
      <c r="G330" s="2" t="s">
        <v>649</v>
      </c>
      <c r="H330" s="2"/>
      <c r="I330" s="28"/>
      <c r="J330" s="28"/>
      <c r="K330" s="28">
        <v>5.43</v>
      </c>
      <c r="M330" s="2" t="s">
        <v>649</v>
      </c>
      <c r="N330" s="2"/>
      <c r="O330" s="28">
        <v>1</v>
      </c>
      <c r="P330" s="28"/>
      <c r="Q330" s="28">
        <v>4.57</v>
      </c>
      <c r="S330" s="2" t="s">
        <v>649</v>
      </c>
      <c r="T330" s="2"/>
      <c r="U330" s="28">
        <v>1</v>
      </c>
      <c r="V330" s="28">
        <v>0</v>
      </c>
      <c r="W330" s="28">
        <v>3.57</v>
      </c>
      <c r="Y330" s="2" t="s">
        <v>649</v>
      </c>
      <c r="Z330" s="14"/>
      <c r="AA330" s="14"/>
      <c r="AB330" s="14">
        <f t="shared" si="137"/>
        <v>4.75</v>
      </c>
    </row>
    <row r="331" spans="1:28" x14ac:dyDescent="0.25">
      <c r="A331" s="72" t="s">
        <v>39</v>
      </c>
      <c r="B331" s="72"/>
      <c r="C331" s="8">
        <f>SUM(C315:C330)</f>
        <v>248</v>
      </c>
      <c r="D331" s="8">
        <f>SUM(D315:D330)</f>
        <v>236.56999999999996</v>
      </c>
      <c r="E331" s="8">
        <f>SUM(E315:E330)</f>
        <v>2302.15</v>
      </c>
      <c r="G331" s="72" t="s">
        <v>39</v>
      </c>
      <c r="H331" s="72"/>
      <c r="I331" s="8">
        <f>SUM(I315:I330)</f>
        <v>239</v>
      </c>
      <c r="J331" s="8">
        <f>SUM(J315:J330)</f>
        <v>182.44999999999996</v>
      </c>
      <c r="K331" s="8">
        <f>SUM(K315:K330)</f>
        <v>2249.8599999999997</v>
      </c>
      <c r="M331" s="72" t="s">
        <v>39</v>
      </c>
      <c r="N331" s="72"/>
      <c r="O331" s="8">
        <f>SUM(O315:O330)</f>
        <v>253</v>
      </c>
      <c r="P331" s="8">
        <f>SUM(P315:P330)</f>
        <v>193.13000000000002</v>
      </c>
      <c r="Q331" s="8">
        <f>SUM(Q315:Q330)</f>
        <v>2197.9900000000007</v>
      </c>
      <c r="S331" s="72" t="s">
        <v>39</v>
      </c>
      <c r="T331" s="72"/>
      <c r="U331" s="8">
        <f>SUM(U315:U330)</f>
        <v>251</v>
      </c>
      <c r="V331" s="8">
        <f>SUM(V315:V330)</f>
        <v>203.57</v>
      </c>
      <c r="W331" s="8">
        <f>SUM(W315:W330)</f>
        <v>2153.1400000000003</v>
      </c>
      <c r="Y331" s="216" t="s">
        <v>1183</v>
      </c>
      <c r="Z331" s="203">
        <f>AVERAGE(Z317:Z330)</f>
        <v>19.01923076923077</v>
      </c>
      <c r="AA331" s="203">
        <f>AVERAGE(AA317:AA330)</f>
        <v>15.700769230769232</v>
      </c>
      <c r="AB331" s="203">
        <f>AVERAGE(AB317:AB330)</f>
        <v>154.27553571428572</v>
      </c>
    </row>
    <row r="332" spans="1:28" x14ac:dyDescent="0.25">
      <c r="A332" s="72"/>
      <c r="B332" s="72"/>
      <c r="C332" s="7"/>
      <c r="D332" s="7"/>
      <c r="E332" s="7"/>
      <c r="G332" s="72"/>
      <c r="H332" s="72"/>
      <c r="I332" s="7"/>
      <c r="J332" s="7"/>
      <c r="K332" s="7"/>
      <c r="M332" s="72"/>
      <c r="N332" s="72"/>
      <c r="O332" s="7"/>
      <c r="P332" s="7"/>
      <c r="Q332" s="7"/>
      <c r="S332" s="72"/>
      <c r="T332" s="72"/>
      <c r="U332" s="7"/>
      <c r="V332" s="7"/>
      <c r="W332" s="7"/>
    </row>
    <row r="333" spans="1:28" x14ac:dyDescent="0.25">
      <c r="A333" s="72"/>
      <c r="B333" s="6" t="s">
        <v>477</v>
      </c>
      <c r="C333" s="131">
        <f>SUM(C317:C322)</f>
        <v>116</v>
      </c>
      <c r="D333" s="131">
        <f>SUM(D317:D322)</f>
        <v>106.42</v>
      </c>
      <c r="E333" s="131">
        <f t="shared" ref="E333" si="138">SUM(E317:E322)</f>
        <v>1049</v>
      </c>
      <c r="G333" s="72"/>
      <c r="H333" s="6" t="s">
        <v>477</v>
      </c>
      <c r="I333" s="131">
        <f>SUM(I317:I322)</f>
        <v>114</v>
      </c>
      <c r="J333" s="95">
        <f>SUM(J317:J322)</f>
        <v>85.72999999999999</v>
      </c>
      <c r="K333" s="131">
        <f>SUM(K317:K320)</f>
        <v>556.14</v>
      </c>
      <c r="M333" s="72"/>
      <c r="N333" s="6" t="s">
        <v>477</v>
      </c>
      <c r="O333" s="131">
        <f>SUM(O317:O322)</f>
        <v>116</v>
      </c>
      <c r="P333" s="131">
        <f>SUM(P317:P322)</f>
        <v>90.28</v>
      </c>
      <c r="Q333" s="131">
        <f>SUM(Q317:Q320)</f>
        <v>557.42999999999995</v>
      </c>
      <c r="S333" s="72"/>
      <c r="T333" s="6" t="s">
        <v>477</v>
      </c>
      <c r="U333" s="131">
        <f>SUM(U317:U322)</f>
        <v>112</v>
      </c>
      <c r="V333" s="131">
        <f>SUM(V317:V322)</f>
        <v>54</v>
      </c>
      <c r="W333" s="131">
        <f>SUM(W317:W320)</f>
        <v>519.43000000000006</v>
      </c>
    </row>
    <row r="334" spans="1:28" x14ac:dyDescent="0.25">
      <c r="A334" s="68"/>
      <c r="B334" s="6" t="s">
        <v>479</v>
      </c>
      <c r="C334" s="93">
        <f>SUM(C323:C329)</f>
        <v>132</v>
      </c>
      <c r="D334" s="93">
        <f>SUM(D323:D329)</f>
        <v>130.14999999999998</v>
      </c>
      <c r="E334" s="93">
        <f t="shared" ref="E334" si="139">SUM(E323:E329)</f>
        <v>1247.72</v>
      </c>
      <c r="G334" s="72"/>
      <c r="H334" s="6" t="s">
        <v>479</v>
      </c>
      <c r="I334" s="93">
        <f>SUM(I323:I329)</f>
        <v>125</v>
      </c>
      <c r="J334" s="93">
        <f>SUM(J323:J329)</f>
        <v>96.720000000000013</v>
      </c>
      <c r="K334" s="93">
        <f>SUM(K325:K329)</f>
        <v>838.43</v>
      </c>
      <c r="M334" s="72"/>
      <c r="N334" s="6" t="s">
        <v>479</v>
      </c>
      <c r="O334" s="93">
        <f>SUM(O323:O329)</f>
        <v>136</v>
      </c>
      <c r="P334" s="93">
        <f>SUM(P323:P329)</f>
        <v>102.85</v>
      </c>
      <c r="Q334" s="93">
        <f>SUM(Q325:Q329)</f>
        <v>838.56</v>
      </c>
      <c r="S334" s="72"/>
      <c r="T334" s="6" t="s">
        <v>479</v>
      </c>
      <c r="U334" s="93">
        <f>SUM(U323:U329)</f>
        <v>138</v>
      </c>
      <c r="V334" s="93">
        <f>SUM(V323:V329)</f>
        <v>149.57</v>
      </c>
      <c r="W334" s="93">
        <f>SUM(W325:W329)</f>
        <v>863.28</v>
      </c>
    </row>
    <row r="335" spans="1:28" ht="30" x14ac:dyDescent="0.25">
      <c r="A335" s="68" t="s">
        <v>50</v>
      </c>
      <c r="B335" s="6"/>
      <c r="C335" s="66"/>
      <c r="D335" s="66">
        <v>33</v>
      </c>
      <c r="E335" s="224">
        <f>SUM(D331/D335)</f>
        <v>7.168787878787878</v>
      </c>
      <c r="G335" s="68" t="s">
        <v>50</v>
      </c>
      <c r="H335" s="6"/>
      <c r="I335" s="66"/>
      <c r="J335" s="66">
        <v>57</v>
      </c>
      <c r="K335" s="224">
        <f>SUM(J331/J335)</f>
        <v>3.2008771929824555</v>
      </c>
      <c r="M335" s="68" t="s">
        <v>50</v>
      </c>
      <c r="N335" s="6"/>
      <c r="O335" s="66"/>
      <c r="P335" s="66">
        <v>62</v>
      </c>
      <c r="Q335" s="224">
        <f>SUM(P331/P335)</f>
        <v>3.1150000000000002</v>
      </c>
      <c r="S335" s="68" t="s">
        <v>50</v>
      </c>
      <c r="T335" s="6"/>
      <c r="U335" s="66"/>
      <c r="V335" s="66">
        <v>30</v>
      </c>
      <c r="W335" s="224">
        <f>SUM(V331/V335)</f>
        <v>6.7856666666666667</v>
      </c>
    </row>
    <row r="336" spans="1:28" x14ac:dyDescent="0.25">
      <c r="A336" s="72" t="s">
        <v>41</v>
      </c>
      <c r="B336" s="6"/>
      <c r="C336" s="8"/>
      <c r="D336" s="8"/>
      <c r="E336" s="8"/>
      <c r="G336" s="72" t="s">
        <v>41</v>
      </c>
      <c r="H336" s="6"/>
      <c r="I336" s="8"/>
      <c r="J336" s="8"/>
      <c r="K336" s="8"/>
      <c r="M336" s="72" t="s">
        <v>41</v>
      </c>
      <c r="N336" s="6"/>
      <c r="O336" s="8"/>
      <c r="P336" s="8"/>
      <c r="Q336" s="8"/>
      <c r="S336" s="72" t="s">
        <v>41</v>
      </c>
      <c r="T336" s="6"/>
      <c r="U336" s="8"/>
      <c r="V336" s="8"/>
      <c r="W336" s="8"/>
    </row>
    <row r="337" spans="1:28" x14ac:dyDescent="0.25">
      <c r="C337" s="12" t="e">
        <f>#REF!-#REF!</f>
        <v>#REF!</v>
      </c>
      <c r="D337" s="12" t="e">
        <f>#REF!-#REF!</f>
        <v>#REF!</v>
      </c>
      <c r="E337" s="12" t="e">
        <f>#REF!-#REF!</f>
        <v>#REF!</v>
      </c>
      <c r="I337" s="12" t="e">
        <f>#REF!-#REF!</f>
        <v>#REF!</v>
      </c>
      <c r="J337" s="12" t="e">
        <f>#REF!-#REF!</f>
        <v>#REF!</v>
      </c>
      <c r="K337" s="12" t="e">
        <f>#REF!-#REF!</f>
        <v>#REF!</v>
      </c>
      <c r="O337" s="12" t="e">
        <f>#REF!-#REF!</f>
        <v>#REF!</v>
      </c>
      <c r="P337" s="12" t="e">
        <f>#REF!-#REF!</f>
        <v>#REF!</v>
      </c>
      <c r="Q337" s="12" t="e">
        <f>#REF!-#REF!</f>
        <v>#REF!</v>
      </c>
      <c r="U337" s="12" t="e">
        <f>#REF!-#REF!</f>
        <v>#REF!</v>
      </c>
      <c r="V337" s="12" t="e">
        <f>#REF!-#REF!</f>
        <v>#REF!</v>
      </c>
      <c r="W337" s="12" t="e">
        <f>#REF!-#REF!</f>
        <v>#REF!</v>
      </c>
    </row>
    <row r="339" spans="1:28" ht="18.75" x14ac:dyDescent="0.3">
      <c r="A339" s="69" t="s">
        <v>1206</v>
      </c>
      <c r="B339" s="4"/>
      <c r="C339" s="10"/>
      <c r="D339" s="10"/>
      <c r="E339" s="10"/>
      <c r="G339" s="69" t="s">
        <v>1207</v>
      </c>
      <c r="H339" s="4"/>
      <c r="I339" s="10"/>
      <c r="J339" s="10"/>
      <c r="K339" s="10"/>
      <c r="M339" s="69" t="s">
        <v>1208</v>
      </c>
      <c r="N339" s="4"/>
      <c r="O339" s="10"/>
      <c r="P339" s="10"/>
      <c r="Q339" s="10"/>
      <c r="S339" s="69" t="s">
        <v>1209</v>
      </c>
      <c r="T339" s="4"/>
      <c r="U339" s="10"/>
      <c r="V339" s="10"/>
      <c r="W339" s="10"/>
      <c r="Y339" t="s">
        <v>1204</v>
      </c>
    </row>
    <row r="340" spans="1:28" ht="45" x14ac:dyDescent="0.25">
      <c r="A340" s="70"/>
      <c r="B340" s="70"/>
      <c r="C340" s="71" t="s">
        <v>26</v>
      </c>
      <c r="D340" s="71" t="s">
        <v>27</v>
      </c>
      <c r="E340" s="71" t="s">
        <v>28</v>
      </c>
      <c r="G340" s="70"/>
      <c r="H340" s="70"/>
      <c r="I340" s="71" t="s">
        <v>26</v>
      </c>
      <c r="J340" s="71" t="s">
        <v>27</v>
      </c>
      <c r="K340" s="71" t="s">
        <v>28</v>
      </c>
      <c r="M340" s="70"/>
      <c r="N340" s="70"/>
      <c r="O340" s="71" t="s">
        <v>26</v>
      </c>
      <c r="P340" s="71" t="s">
        <v>27</v>
      </c>
      <c r="Q340" s="71" t="s">
        <v>28</v>
      </c>
      <c r="S340" s="70"/>
      <c r="T340" s="70"/>
      <c r="U340" s="71" t="s">
        <v>26</v>
      </c>
      <c r="V340" s="71" t="s">
        <v>27</v>
      </c>
      <c r="W340" s="71" t="s">
        <v>28</v>
      </c>
      <c r="Y340" s="124" t="s">
        <v>685</v>
      </c>
      <c r="Z340" s="71" t="s">
        <v>26</v>
      </c>
      <c r="AA340" s="71" t="s">
        <v>27</v>
      </c>
      <c r="AB340" s="71" t="s">
        <v>28</v>
      </c>
    </row>
    <row r="341" spans="1:28" x14ac:dyDescent="0.25">
      <c r="A341" s="90" t="s">
        <v>29</v>
      </c>
      <c r="B341" s="90"/>
      <c r="C341" s="91">
        <v>21</v>
      </c>
      <c r="D341" s="91">
        <v>16.57</v>
      </c>
      <c r="E341" s="91">
        <v>182</v>
      </c>
      <c r="G341" s="90" t="s">
        <v>29</v>
      </c>
      <c r="H341" s="90"/>
      <c r="I341" s="91">
        <v>18</v>
      </c>
      <c r="J341" s="91">
        <v>11.14</v>
      </c>
      <c r="K341" s="91">
        <v>175.29</v>
      </c>
      <c r="M341" s="90" t="s">
        <v>29</v>
      </c>
      <c r="N341" s="90"/>
      <c r="O341" s="91">
        <v>20</v>
      </c>
      <c r="P341" s="91">
        <v>10.14</v>
      </c>
      <c r="Q341" s="91">
        <v>166.14</v>
      </c>
      <c r="S341" s="90" t="s">
        <v>29</v>
      </c>
      <c r="T341" s="90"/>
      <c r="U341" s="91">
        <v>22</v>
      </c>
      <c r="V341" s="91">
        <v>12.86</v>
      </c>
      <c r="W341" s="91">
        <v>158.43</v>
      </c>
      <c r="Y341" s="90" t="s">
        <v>29</v>
      </c>
      <c r="Z341" s="225">
        <f>AVERAGE(O341,I341,C341,U341)</f>
        <v>20.25</v>
      </c>
      <c r="AA341" s="201">
        <f>AVERAGE(P341,J341,D341,V341)</f>
        <v>12.6775</v>
      </c>
      <c r="AB341" s="225">
        <f t="shared" ref="AB341:AB345" si="140">AVERAGE(Q341,K341,E341,W341)</f>
        <v>170.46499999999997</v>
      </c>
    </row>
    <row r="342" spans="1:28" x14ac:dyDescent="0.25">
      <c r="A342" s="90" t="s">
        <v>35</v>
      </c>
      <c r="B342" s="90"/>
      <c r="C342" s="91">
        <v>22</v>
      </c>
      <c r="D342" s="91">
        <v>15</v>
      </c>
      <c r="E342" s="91">
        <v>166</v>
      </c>
      <c r="G342" s="90" t="s">
        <v>35</v>
      </c>
      <c r="H342" s="90"/>
      <c r="I342" s="91">
        <v>16</v>
      </c>
      <c r="J342" s="91">
        <v>51</v>
      </c>
      <c r="K342" s="91">
        <v>201.57</v>
      </c>
      <c r="M342" s="90" t="s">
        <v>35</v>
      </c>
      <c r="N342" s="90"/>
      <c r="O342" s="91">
        <v>16</v>
      </c>
      <c r="P342" s="91">
        <v>21.71</v>
      </c>
      <c r="Q342" s="91">
        <v>208.14</v>
      </c>
      <c r="S342" s="90" t="s">
        <v>35</v>
      </c>
      <c r="T342" s="90"/>
      <c r="U342" s="91">
        <v>15</v>
      </c>
      <c r="V342" s="91">
        <v>19.57</v>
      </c>
      <c r="W342" s="91">
        <v>212.86</v>
      </c>
      <c r="Y342" s="90" t="s">
        <v>35</v>
      </c>
      <c r="Z342" s="201">
        <f t="shared" ref="Z342:Z354" si="141">AVERAGE(O342,I342,C342,U342)</f>
        <v>17.25</v>
      </c>
      <c r="AA342" s="225">
        <f t="shared" ref="AA342:AA345" si="142">AVERAGE(P342,J342,D342,V342)</f>
        <v>26.82</v>
      </c>
      <c r="AB342" s="225">
        <f t="shared" si="140"/>
        <v>197.14250000000001</v>
      </c>
    </row>
    <row r="343" spans="1:28" x14ac:dyDescent="0.25">
      <c r="A343" s="90" t="s">
        <v>32</v>
      </c>
      <c r="B343" s="90"/>
      <c r="C343" s="91">
        <v>21</v>
      </c>
      <c r="D343" s="91">
        <v>26.14</v>
      </c>
      <c r="E343" s="91">
        <v>166.29</v>
      </c>
      <c r="G343" s="90" t="s">
        <v>32</v>
      </c>
      <c r="H343" s="90"/>
      <c r="I343" s="91">
        <v>15</v>
      </c>
      <c r="J343" s="91">
        <v>19.57</v>
      </c>
      <c r="K343" s="91">
        <v>171.57</v>
      </c>
      <c r="M343" s="90" t="s">
        <v>32</v>
      </c>
      <c r="N343" s="90"/>
      <c r="O343" s="91">
        <v>13</v>
      </c>
      <c r="P343" s="91">
        <v>8</v>
      </c>
      <c r="Q343" s="91">
        <v>167.29</v>
      </c>
      <c r="S343" s="90" t="s">
        <v>32</v>
      </c>
      <c r="T343" s="90"/>
      <c r="U343" s="91">
        <v>14</v>
      </c>
      <c r="V343" s="91">
        <v>1.57</v>
      </c>
      <c r="W343" s="91">
        <v>156.13999999999999</v>
      </c>
      <c r="Y343" s="90" t="s">
        <v>32</v>
      </c>
      <c r="Z343" s="201">
        <f t="shared" si="141"/>
        <v>15.75</v>
      </c>
      <c r="AA343" s="225">
        <f>AVERAGE(P343,J343,D343,V343)</f>
        <v>13.82</v>
      </c>
      <c r="AB343" s="225">
        <f t="shared" si="140"/>
        <v>165.32249999999999</v>
      </c>
    </row>
    <row r="344" spans="1:28" x14ac:dyDescent="0.25">
      <c r="A344" s="123" t="s">
        <v>31</v>
      </c>
      <c r="B344" s="90"/>
      <c r="C344" s="91">
        <v>1</v>
      </c>
      <c r="D344" s="91">
        <v>0</v>
      </c>
      <c r="E344" s="91">
        <v>2.71</v>
      </c>
      <c r="G344" s="123" t="s">
        <v>31</v>
      </c>
      <c r="H344" s="90"/>
      <c r="I344" s="91">
        <v>1</v>
      </c>
      <c r="J344" s="91"/>
      <c r="K344" s="91">
        <v>1.71</v>
      </c>
      <c r="M344" s="123" t="s">
        <v>31</v>
      </c>
      <c r="N344" s="90"/>
      <c r="O344" s="91">
        <v>1</v>
      </c>
      <c r="P344" s="91">
        <v>0</v>
      </c>
      <c r="Q344" s="91">
        <v>0.71</v>
      </c>
      <c r="S344" s="123" t="s">
        <v>31</v>
      </c>
      <c r="T344" s="90"/>
      <c r="U344" s="91">
        <v>1</v>
      </c>
      <c r="V344" s="91">
        <v>0</v>
      </c>
      <c r="W344" s="91">
        <v>0</v>
      </c>
      <c r="Y344" s="90" t="s">
        <v>31</v>
      </c>
      <c r="Z344" s="201"/>
      <c r="AA344" s="201"/>
      <c r="AB344" s="201">
        <f t="shared" si="140"/>
        <v>1.2825</v>
      </c>
    </row>
    <row r="345" spans="1:28" x14ac:dyDescent="0.25">
      <c r="A345" s="90" t="s">
        <v>11</v>
      </c>
      <c r="B345" s="90"/>
      <c r="C345" s="91">
        <v>25</v>
      </c>
      <c r="D345" s="91">
        <v>11.29</v>
      </c>
      <c r="E345" s="91">
        <v>171.71</v>
      </c>
      <c r="G345" s="90" t="s">
        <v>11</v>
      </c>
      <c r="H345" s="90"/>
      <c r="I345" s="91">
        <v>27</v>
      </c>
      <c r="J345" s="91">
        <v>27.71</v>
      </c>
      <c r="K345" s="91">
        <v>172.71</v>
      </c>
      <c r="M345" s="90" t="s">
        <v>11</v>
      </c>
      <c r="N345" s="90"/>
      <c r="O345" s="91">
        <v>26</v>
      </c>
      <c r="P345" s="91">
        <v>23.57</v>
      </c>
      <c r="Q345" s="91">
        <v>170.86</v>
      </c>
      <c r="S345" s="90" t="s">
        <v>11</v>
      </c>
      <c r="T345" s="90"/>
      <c r="U345" s="91">
        <v>22</v>
      </c>
      <c r="V345" s="91">
        <v>30.57</v>
      </c>
      <c r="W345" s="91">
        <v>181.29</v>
      </c>
      <c r="Y345" s="90" t="s">
        <v>11</v>
      </c>
      <c r="Z345" s="225">
        <f>AVERAGE(O345,I345,C345,U345)</f>
        <v>25</v>
      </c>
      <c r="AA345" s="225">
        <f t="shared" si="142"/>
        <v>23.285</v>
      </c>
      <c r="AB345" s="225">
        <f t="shared" si="140"/>
        <v>174.14250000000001</v>
      </c>
    </row>
    <row r="346" spans="1:28" x14ac:dyDescent="0.25">
      <c r="A346" s="90" t="s">
        <v>48</v>
      </c>
      <c r="B346" s="90"/>
      <c r="C346" s="91">
        <v>22</v>
      </c>
      <c r="D346" s="91">
        <v>-12.14</v>
      </c>
      <c r="E346" s="91">
        <v>207.29</v>
      </c>
      <c r="G346" s="90" t="s">
        <v>48</v>
      </c>
      <c r="H346" s="90"/>
      <c r="I346" s="91">
        <v>26</v>
      </c>
      <c r="J346" s="91">
        <v>6.71</v>
      </c>
      <c r="K346" s="91">
        <v>188.57</v>
      </c>
      <c r="M346" s="90" t="s">
        <v>48</v>
      </c>
      <c r="N346" s="90"/>
      <c r="O346" s="91">
        <v>27</v>
      </c>
      <c r="P346" s="91">
        <v>32.86</v>
      </c>
      <c r="Q346" s="91">
        <v>193.86</v>
      </c>
      <c r="S346" s="90" t="s">
        <v>48</v>
      </c>
      <c r="T346" s="90"/>
      <c r="U346" s="91">
        <v>29</v>
      </c>
      <c r="V346" s="91">
        <v>5.86</v>
      </c>
      <c r="W346" s="91">
        <v>171.14</v>
      </c>
      <c r="Y346" s="90" t="s">
        <v>48</v>
      </c>
      <c r="Z346" s="225">
        <f>AVERAGE(O346,I346,C346,U346)</f>
        <v>26</v>
      </c>
      <c r="AA346" s="201">
        <f t="shared" ref="AA346:AA353" si="143">AVERAGE(P346,J346,D346,V346)</f>
        <v>8.3224999999999998</v>
      </c>
      <c r="AB346" s="225">
        <f t="shared" ref="AB346" si="144">AVERAGE(Q346,K346,E346,W346)</f>
        <v>190.215</v>
      </c>
    </row>
    <row r="347" spans="1:28" x14ac:dyDescent="0.25">
      <c r="A347" s="27" t="s">
        <v>36</v>
      </c>
      <c r="B347" s="27"/>
      <c r="C347" s="28">
        <v>26</v>
      </c>
      <c r="D347" s="28">
        <v>13.43</v>
      </c>
      <c r="E347" s="28">
        <v>194.86</v>
      </c>
      <c r="G347" s="27" t="s">
        <v>36</v>
      </c>
      <c r="H347" s="27"/>
      <c r="I347" s="28">
        <v>28</v>
      </c>
      <c r="J347" s="28">
        <v>14.29</v>
      </c>
      <c r="K347" s="28">
        <v>182</v>
      </c>
      <c r="M347" s="27" t="s">
        <v>36</v>
      </c>
      <c r="N347" s="27"/>
      <c r="O347" s="28">
        <v>27</v>
      </c>
      <c r="P347" s="28">
        <v>9.43</v>
      </c>
      <c r="Q347" s="28">
        <v>166</v>
      </c>
      <c r="S347" s="14" t="s">
        <v>36</v>
      </c>
      <c r="T347" s="27"/>
      <c r="U347" s="28">
        <v>22</v>
      </c>
      <c r="V347" s="28">
        <v>-13.29</v>
      </c>
      <c r="W347" s="28">
        <v>131</v>
      </c>
      <c r="Y347" s="27" t="s">
        <v>36</v>
      </c>
      <c r="Z347" s="225">
        <f t="shared" si="141"/>
        <v>25.75</v>
      </c>
      <c r="AA347" s="188">
        <f t="shared" si="143"/>
        <v>5.9649999999999999</v>
      </c>
      <c r="AB347" s="225">
        <f t="shared" ref="AB347:AB352" si="145">AVERAGE(Q347,K347,E347,W347)</f>
        <v>168.465</v>
      </c>
    </row>
    <row r="348" spans="1:28" x14ac:dyDescent="0.25">
      <c r="A348" s="27" t="s">
        <v>481</v>
      </c>
      <c r="B348" s="27"/>
      <c r="C348" s="28">
        <v>16</v>
      </c>
      <c r="D348" s="28">
        <v>30.29</v>
      </c>
      <c r="E348" s="28">
        <v>147</v>
      </c>
      <c r="G348" s="27" t="s">
        <v>481</v>
      </c>
      <c r="H348" s="27"/>
      <c r="I348" s="28">
        <v>15</v>
      </c>
      <c r="J348" s="28">
        <v>26.71</v>
      </c>
      <c r="K348" s="28">
        <v>159.71</v>
      </c>
      <c r="M348" s="27" t="s">
        <v>481</v>
      </c>
      <c r="N348" s="27"/>
      <c r="O348" s="28">
        <v>16</v>
      </c>
      <c r="P348" s="28">
        <v>17.71</v>
      </c>
      <c r="Q348" s="28">
        <v>162</v>
      </c>
      <c r="S348" s="27" t="s">
        <v>481</v>
      </c>
      <c r="T348" s="27"/>
      <c r="U348" s="28">
        <v>19</v>
      </c>
      <c r="V348" s="28">
        <v>10.86</v>
      </c>
      <c r="W348" s="28">
        <v>156.13999999999999</v>
      </c>
      <c r="Y348" s="27" t="s">
        <v>690</v>
      </c>
      <c r="Z348" s="188">
        <f t="shared" si="141"/>
        <v>16.5</v>
      </c>
      <c r="AA348" s="225">
        <f t="shared" si="143"/>
        <v>21.392500000000002</v>
      </c>
      <c r="AB348" s="225">
        <f t="shared" si="145"/>
        <v>156.21250000000001</v>
      </c>
    </row>
    <row r="349" spans="1:28" x14ac:dyDescent="0.25">
      <c r="A349" s="27" t="s">
        <v>37</v>
      </c>
      <c r="B349" s="27"/>
      <c r="C349" s="28">
        <v>24</v>
      </c>
      <c r="D349" s="28">
        <v>2.71</v>
      </c>
      <c r="E349" s="28">
        <v>179.86</v>
      </c>
      <c r="G349" s="27" t="s">
        <v>37</v>
      </c>
      <c r="H349" s="27"/>
      <c r="I349" s="28">
        <v>25</v>
      </c>
      <c r="J349" s="28">
        <v>21.14</v>
      </c>
      <c r="K349" s="28">
        <v>177.43</v>
      </c>
      <c r="M349" s="27" t="s">
        <v>37</v>
      </c>
      <c r="N349" s="27"/>
      <c r="O349" s="28">
        <v>22</v>
      </c>
      <c r="P349" s="28">
        <v>10.43</v>
      </c>
      <c r="Q349" s="28">
        <v>166</v>
      </c>
      <c r="S349" s="27" t="s">
        <v>37</v>
      </c>
      <c r="T349" s="27"/>
      <c r="U349" s="28">
        <v>23</v>
      </c>
      <c r="V349" s="28">
        <v>6.43</v>
      </c>
      <c r="W349" s="28">
        <v>150.57</v>
      </c>
      <c r="Y349" s="27" t="s">
        <v>37</v>
      </c>
      <c r="Z349" s="225">
        <f>AVERAGE(O349,I349,C349,U349)</f>
        <v>23.5</v>
      </c>
      <c r="AA349" s="188">
        <f t="shared" si="143"/>
        <v>10.1775</v>
      </c>
      <c r="AB349" s="225">
        <f t="shared" si="145"/>
        <v>168.46499999999997</v>
      </c>
    </row>
    <row r="350" spans="1:28" x14ac:dyDescent="0.25">
      <c r="A350" s="27" t="s">
        <v>9</v>
      </c>
      <c r="B350" s="27"/>
      <c r="C350" s="28">
        <v>16</v>
      </c>
      <c r="D350" s="28">
        <v>36</v>
      </c>
      <c r="E350" s="28">
        <v>126.29</v>
      </c>
      <c r="G350" s="27" t="s">
        <v>9</v>
      </c>
      <c r="H350" s="27"/>
      <c r="I350" s="28">
        <v>16</v>
      </c>
      <c r="J350" s="28">
        <v>26.57</v>
      </c>
      <c r="K350" s="28">
        <v>144</v>
      </c>
      <c r="M350" s="27" t="s">
        <v>9</v>
      </c>
      <c r="N350" s="27"/>
      <c r="O350" s="28">
        <v>16</v>
      </c>
      <c r="P350" s="28">
        <v>19.14</v>
      </c>
      <c r="Q350" s="28">
        <v>147.86000000000001</v>
      </c>
      <c r="S350" s="27" t="s">
        <v>9</v>
      </c>
      <c r="T350" s="27"/>
      <c r="U350" s="28">
        <v>16</v>
      </c>
      <c r="V350" s="28">
        <v>13.57</v>
      </c>
      <c r="W350" s="28">
        <v>145.86000000000001</v>
      </c>
      <c r="Y350" s="27" t="s">
        <v>9</v>
      </c>
      <c r="Z350" s="188">
        <f>AVERAGE(O350,I350,C350,U350)</f>
        <v>16</v>
      </c>
      <c r="AA350" s="225">
        <f t="shared" si="143"/>
        <v>23.82</v>
      </c>
      <c r="AB350" s="188">
        <f t="shared" si="145"/>
        <v>141.0025</v>
      </c>
    </row>
    <row r="351" spans="1:28" x14ac:dyDescent="0.25">
      <c r="A351" s="27" t="s">
        <v>12</v>
      </c>
      <c r="B351" s="27"/>
      <c r="C351" s="28">
        <v>16</v>
      </c>
      <c r="D351" s="28">
        <v>-5.29</v>
      </c>
      <c r="E351" s="28">
        <v>136</v>
      </c>
      <c r="G351" s="27" t="s">
        <v>12</v>
      </c>
      <c r="H351" s="27"/>
      <c r="I351" s="28">
        <v>19</v>
      </c>
      <c r="J351" s="28">
        <v>1.43</v>
      </c>
      <c r="K351" s="28">
        <v>119.43</v>
      </c>
      <c r="M351" s="27" t="s">
        <v>12</v>
      </c>
      <c r="N351" s="27"/>
      <c r="O351" s="28">
        <v>16</v>
      </c>
      <c r="P351" s="28">
        <v>10</v>
      </c>
      <c r="Q351" s="28">
        <v>113.71</v>
      </c>
      <c r="S351" s="27" t="s">
        <v>12</v>
      </c>
      <c r="T351" s="27"/>
      <c r="U351" s="28">
        <v>16</v>
      </c>
      <c r="V351" s="28">
        <v>11.86</v>
      </c>
      <c r="W351" s="28">
        <v>111.43</v>
      </c>
      <c r="Y351" s="27" t="s">
        <v>12</v>
      </c>
      <c r="Z351" s="188">
        <f t="shared" si="141"/>
        <v>16.75</v>
      </c>
      <c r="AA351" s="188">
        <f t="shared" si="143"/>
        <v>4.5</v>
      </c>
      <c r="AB351" s="188">
        <f t="shared" si="145"/>
        <v>120.1425</v>
      </c>
    </row>
    <row r="352" spans="1:28" x14ac:dyDescent="0.25">
      <c r="A352" s="27" t="s">
        <v>10</v>
      </c>
      <c r="B352" s="27"/>
      <c r="C352" s="28">
        <v>29</v>
      </c>
      <c r="D352" s="28">
        <v>2.57</v>
      </c>
      <c r="E352" s="28">
        <v>232.86</v>
      </c>
      <c r="G352" s="27" t="s">
        <v>10</v>
      </c>
      <c r="H352" s="27"/>
      <c r="I352" s="28">
        <v>29</v>
      </c>
      <c r="J352" s="28">
        <v>24.57</v>
      </c>
      <c r="K352" s="28">
        <v>229.29</v>
      </c>
      <c r="M352" s="27" t="s">
        <v>10</v>
      </c>
      <c r="N352" s="27"/>
      <c r="O352" s="28">
        <v>23</v>
      </c>
      <c r="P352" s="28">
        <v>27.71</v>
      </c>
      <c r="Q352" s="28">
        <v>233.43</v>
      </c>
      <c r="S352" s="27" t="s">
        <v>10</v>
      </c>
      <c r="T352" s="27"/>
      <c r="U352" s="28">
        <v>25</v>
      </c>
      <c r="V352" s="28">
        <v>8.57</v>
      </c>
      <c r="W352" s="28">
        <v>216.86</v>
      </c>
      <c r="Y352" s="27" t="s">
        <v>10</v>
      </c>
      <c r="Z352" s="225">
        <f>AVERAGE(O352,I352,C352,U352)</f>
        <v>26.5</v>
      </c>
      <c r="AA352" s="225">
        <f t="shared" si="143"/>
        <v>15.855</v>
      </c>
      <c r="AB352" s="225">
        <f t="shared" si="145"/>
        <v>228.11</v>
      </c>
    </row>
    <row r="353" spans="1:37" x14ac:dyDescent="0.25">
      <c r="A353" s="27" t="s">
        <v>672</v>
      </c>
      <c r="B353" s="27"/>
      <c r="C353" s="28">
        <v>16</v>
      </c>
      <c r="D353" s="28">
        <v>6</v>
      </c>
      <c r="E353" s="28">
        <v>122.57</v>
      </c>
      <c r="G353" s="27" t="s">
        <v>672</v>
      </c>
      <c r="H353" s="27"/>
      <c r="I353" s="28">
        <v>14</v>
      </c>
      <c r="J353" s="28">
        <v>7.57</v>
      </c>
      <c r="K353" s="28">
        <v>116.14</v>
      </c>
      <c r="M353" s="27" t="s">
        <v>672</v>
      </c>
      <c r="N353" s="27"/>
      <c r="O353" s="28">
        <v>12</v>
      </c>
      <c r="P353" s="28">
        <v>18.14</v>
      </c>
      <c r="Q353" s="28">
        <v>122</v>
      </c>
      <c r="S353" s="27" t="s">
        <v>672</v>
      </c>
      <c r="T353" s="27"/>
      <c r="U353" s="28">
        <v>12</v>
      </c>
      <c r="V353" s="28">
        <v>-0.28999999999999998</v>
      </c>
      <c r="W353" s="28">
        <v>108.71</v>
      </c>
      <c r="Y353" s="27" t="s">
        <v>672</v>
      </c>
      <c r="Z353" s="188">
        <f>AVERAGE(O353,I353,C353,U353)</f>
        <v>13.5</v>
      </c>
      <c r="AA353" s="188">
        <f t="shared" si="143"/>
        <v>7.8550000000000004</v>
      </c>
      <c r="AB353" s="188">
        <f>AVERAGE(Q353,K353,E353,W353)</f>
        <v>117.35499999999999</v>
      </c>
    </row>
    <row r="354" spans="1:37" x14ac:dyDescent="0.25">
      <c r="A354" s="2" t="s">
        <v>649</v>
      </c>
      <c r="B354" s="2"/>
      <c r="C354" s="28">
        <v>1</v>
      </c>
      <c r="D354" s="28"/>
      <c r="E354" s="28">
        <v>2.57</v>
      </c>
      <c r="G354" s="2" t="s">
        <v>649</v>
      </c>
      <c r="H354" s="2"/>
      <c r="I354" s="28">
        <v>1</v>
      </c>
      <c r="J354" s="28"/>
      <c r="K354" s="28">
        <v>1.57</v>
      </c>
      <c r="M354" s="2" t="s">
        <v>649</v>
      </c>
      <c r="N354" s="2"/>
      <c r="O354" s="28">
        <v>1</v>
      </c>
      <c r="P354" s="28">
        <v>0</v>
      </c>
      <c r="Q354" s="28">
        <v>0.56999999999999995</v>
      </c>
      <c r="S354" s="2" t="s">
        <v>649</v>
      </c>
      <c r="T354" s="2"/>
      <c r="U354" s="28">
        <v>1</v>
      </c>
      <c r="V354" s="28"/>
      <c r="W354" s="28"/>
      <c r="Y354" s="2" t="s">
        <v>649</v>
      </c>
      <c r="Z354" s="14">
        <f t="shared" si="141"/>
        <v>1</v>
      </c>
      <c r="AA354" s="14"/>
      <c r="AB354" s="14">
        <f>AVERAGE(Q354,K354,E354,W354)</f>
        <v>1.57</v>
      </c>
    </row>
    <row r="355" spans="1:37" x14ac:dyDescent="0.25">
      <c r="A355" s="72" t="s">
        <v>39</v>
      </c>
      <c r="B355" s="72"/>
      <c r="C355" s="8">
        <f>SUM(C339:C354)</f>
        <v>256</v>
      </c>
      <c r="D355" s="8">
        <f>SUM(D339:D354)</f>
        <v>142.56999999999996</v>
      </c>
      <c r="E355" s="8">
        <f>SUM(E339:E354)</f>
        <v>2038.0100000000002</v>
      </c>
      <c r="G355" s="72" t="s">
        <v>39</v>
      </c>
      <c r="H355" s="72"/>
      <c r="I355" s="8">
        <f>SUM(I339:I354)</f>
        <v>250</v>
      </c>
      <c r="J355" s="8">
        <f>SUM(J339:J354)</f>
        <v>238.41000000000003</v>
      </c>
      <c r="K355" s="8">
        <f>SUM(K339:K354)</f>
        <v>2040.9900000000002</v>
      </c>
      <c r="M355" s="72" t="s">
        <v>39</v>
      </c>
      <c r="N355" s="72"/>
      <c r="O355" s="8">
        <f>SUM(O339:O354)</f>
        <v>236</v>
      </c>
      <c r="P355" s="8">
        <f>SUM(P339:P354)</f>
        <v>208.84000000000003</v>
      </c>
      <c r="Q355" s="8">
        <f>SUM(Q339:Q354)</f>
        <v>2018.5700000000002</v>
      </c>
      <c r="S355" s="72" t="s">
        <v>39</v>
      </c>
      <c r="T355" s="72"/>
      <c r="U355" s="8">
        <f>SUM(U339:U354)</f>
        <v>237</v>
      </c>
      <c r="V355" s="8">
        <f>SUM(V339:V354)</f>
        <v>108.14</v>
      </c>
      <c r="W355" s="8">
        <f>SUM(W339:W354)</f>
        <v>1900.4299999999998</v>
      </c>
      <c r="Y355" s="216" t="s">
        <v>1205</v>
      </c>
      <c r="Z355" s="203">
        <f>AVERAGE(Z341:Z354)</f>
        <v>18.75</v>
      </c>
      <c r="AA355" s="203">
        <f>AVERAGE(AA341:AA354)</f>
        <v>14.540833333333332</v>
      </c>
      <c r="AB355" s="203">
        <f>AVERAGE(AB341:AB353)</f>
        <v>153.7171153846154</v>
      </c>
    </row>
    <row r="356" spans="1:37" x14ac:dyDescent="0.25">
      <c r="A356" s="72"/>
      <c r="B356" s="72"/>
      <c r="C356" s="7"/>
      <c r="D356" s="7"/>
      <c r="E356" s="7"/>
      <c r="G356" s="72"/>
      <c r="H356" s="72"/>
      <c r="I356" s="7"/>
      <c r="J356" s="7"/>
      <c r="K356" s="7"/>
      <c r="M356" s="72"/>
      <c r="N356" s="72"/>
      <c r="O356" s="7"/>
      <c r="P356" s="7"/>
      <c r="Q356" s="7"/>
      <c r="S356" s="72"/>
      <c r="T356" s="72"/>
      <c r="U356" s="7"/>
      <c r="V356" s="7"/>
      <c r="W356" s="7"/>
    </row>
    <row r="357" spans="1:37" x14ac:dyDescent="0.25">
      <c r="A357" s="72"/>
      <c r="B357" s="6" t="s">
        <v>477</v>
      </c>
      <c r="C357" s="131">
        <f>SUM(C341:C346)</f>
        <v>112</v>
      </c>
      <c r="D357" s="131">
        <f t="shared" ref="D357:E357" si="146">SUM(D341:D346)</f>
        <v>56.86</v>
      </c>
      <c r="E357" s="131">
        <f t="shared" si="146"/>
        <v>896</v>
      </c>
      <c r="G357" s="72"/>
      <c r="H357" s="6" t="s">
        <v>477</v>
      </c>
      <c r="I357" s="131">
        <f>SUM(I341:I346)</f>
        <v>103</v>
      </c>
      <c r="J357" s="131">
        <f t="shared" ref="J357:K357" si="147">SUM(J341:J346)</f>
        <v>116.13000000000001</v>
      </c>
      <c r="K357" s="131">
        <f t="shared" si="147"/>
        <v>911.42000000000007</v>
      </c>
      <c r="M357" s="72"/>
      <c r="N357" s="6" t="s">
        <v>477</v>
      </c>
      <c r="O357" s="131">
        <f>SUM(O341:O346)</f>
        <v>103</v>
      </c>
      <c r="P357" s="131">
        <f t="shared" ref="P357:Q357" si="148">SUM(P341:P346)</f>
        <v>96.28</v>
      </c>
      <c r="Q357" s="131">
        <f t="shared" si="148"/>
        <v>907</v>
      </c>
      <c r="S357" s="72"/>
      <c r="T357" s="6" t="s">
        <v>477</v>
      </c>
      <c r="U357" s="131">
        <f>SUM(U341:U346)</f>
        <v>103</v>
      </c>
      <c r="V357" s="93">
        <f t="shared" ref="V357:W357" si="149">SUM(V341:V346)</f>
        <v>70.429999999999993</v>
      </c>
      <c r="W357" s="131">
        <f t="shared" si="149"/>
        <v>879.86</v>
      </c>
    </row>
    <row r="358" spans="1:37" x14ac:dyDescent="0.25">
      <c r="A358" s="68"/>
      <c r="B358" s="6" t="s">
        <v>479</v>
      </c>
      <c r="C358" s="93">
        <f>SUM(C347:C353)</f>
        <v>143</v>
      </c>
      <c r="D358" s="93">
        <f t="shared" ref="D358:E358" si="150">SUM(D347:D353)</f>
        <v>85.71</v>
      </c>
      <c r="E358" s="93">
        <f t="shared" si="150"/>
        <v>1139.44</v>
      </c>
      <c r="G358" s="68"/>
      <c r="H358" s="6" t="s">
        <v>479</v>
      </c>
      <c r="I358" s="93">
        <f>SUM(I347:I353)</f>
        <v>146</v>
      </c>
      <c r="J358" s="93">
        <f>SUM(J347:J353)</f>
        <v>122.28</v>
      </c>
      <c r="K358" s="93">
        <f>SUM(K347:K353)</f>
        <v>1128.0000000000002</v>
      </c>
      <c r="M358" s="68"/>
      <c r="N358" s="6" t="s">
        <v>479</v>
      </c>
      <c r="O358" s="93">
        <f>SUM(O347:O353)</f>
        <v>132</v>
      </c>
      <c r="P358" s="93">
        <f t="shared" ref="P358:Q358" si="151">SUM(P347:P353)</f>
        <v>112.56000000000002</v>
      </c>
      <c r="Q358" s="93">
        <f t="shared" si="151"/>
        <v>1111</v>
      </c>
      <c r="S358" s="68"/>
      <c r="T358" s="6" t="s">
        <v>479</v>
      </c>
      <c r="U358" s="93">
        <f>SUM(U347:U353)</f>
        <v>133</v>
      </c>
      <c r="V358" s="95">
        <f t="shared" ref="V358:W358" si="152">SUM(V347:V353)</f>
        <v>37.71</v>
      </c>
      <c r="W358" s="93">
        <f t="shared" si="152"/>
        <v>1020.57</v>
      </c>
    </row>
    <row r="359" spans="1:37" ht="30" x14ac:dyDescent="0.25">
      <c r="A359" s="68" t="s">
        <v>50</v>
      </c>
      <c r="B359" s="6"/>
      <c r="C359" s="66"/>
      <c r="D359" s="66">
        <v>28</v>
      </c>
      <c r="E359" s="224">
        <f>SUM(D355/D359)</f>
        <v>5.091785714285713</v>
      </c>
      <c r="G359" s="68" t="s">
        <v>50</v>
      </c>
      <c r="H359" s="6"/>
      <c r="I359" s="66"/>
      <c r="J359" s="66">
        <v>26</v>
      </c>
      <c r="K359" s="224">
        <f>SUM(J355/J359)</f>
        <v>9.1696153846153852</v>
      </c>
      <c r="M359" s="68" t="s">
        <v>50</v>
      </c>
      <c r="N359" s="6"/>
      <c r="O359" s="66"/>
      <c r="P359" s="66">
        <v>24</v>
      </c>
      <c r="Q359" s="224">
        <f>SUM(P355/P359)</f>
        <v>8.701666666666668</v>
      </c>
      <c r="S359" s="68" t="s">
        <v>50</v>
      </c>
      <c r="T359" s="6"/>
      <c r="U359" s="66"/>
      <c r="V359" s="66">
        <v>40</v>
      </c>
      <c r="W359" s="224">
        <f>SUM(V355/V359)</f>
        <v>2.7035</v>
      </c>
    </row>
    <row r="360" spans="1:37" x14ac:dyDescent="0.25">
      <c r="A360" s="72" t="s">
        <v>41</v>
      </c>
      <c r="B360" s="6"/>
      <c r="C360" s="8"/>
      <c r="D360" s="8"/>
      <c r="E360" s="8"/>
      <c r="G360" s="72" t="s">
        <v>41</v>
      </c>
      <c r="H360" s="6"/>
      <c r="I360" s="8"/>
      <c r="J360" s="8"/>
      <c r="K360" s="8"/>
      <c r="M360" s="72" t="s">
        <v>41</v>
      </c>
      <c r="N360" s="6"/>
      <c r="O360" s="8"/>
      <c r="P360" s="8"/>
      <c r="Q360" s="8"/>
      <c r="S360" s="72" t="s">
        <v>41</v>
      </c>
      <c r="T360" s="6"/>
      <c r="U360" s="8"/>
      <c r="V360" s="8"/>
      <c r="W360" s="8"/>
    </row>
    <row r="361" spans="1:37" x14ac:dyDescent="0.25">
      <c r="C361" s="12" t="e">
        <f>#REF!-#REF!</f>
        <v>#REF!</v>
      </c>
      <c r="D361" s="12" t="e">
        <f>#REF!-#REF!</f>
        <v>#REF!</v>
      </c>
      <c r="E361" s="12" t="e">
        <f>#REF!-#REF!</f>
        <v>#REF!</v>
      </c>
      <c r="I361" s="12" t="e">
        <f>#REF!-#REF!</f>
        <v>#REF!</v>
      </c>
      <c r="J361" s="12" t="e">
        <f>#REF!-#REF!</f>
        <v>#REF!</v>
      </c>
      <c r="K361" s="12" t="e">
        <f>#REF!-#REF!</f>
        <v>#REF!</v>
      </c>
      <c r="O361" s="12" t="e">
        <f>#REF!-#REF!</f>
        <v>#REF!</v>
      </c>
      <c r="P361" s="12" t="e">
        <f>#REF!-#REF!</f>
        <v>#REF!</v>
      </c>
      <c r="Q361" s="12" t="e">
        <f>#REF!-#REF!</f>
        <v>#REF!</v>
      </c>
      <c r="U361" s="12" t="e">
        <f>#REF!-#REF!</f>
        <v>#REF!</v>
      </c>
      <c r="V361" s="12" t="e">
        <f>#REF!-#REF!</f>
        <v>#REF!</v>
      </c>
      <c r="W361" s="12" t="e">
        <f>#REF!-#REF!</f>
        <v>#REF!</v>
      </c>
    </row>
    <row r="363" spans="1:37" ht="18.75" x14ac:dyDescent="0.3">
      <c r="A363" s="69" t="s">
        <v>1253</v>
      </c>
      <c r="B363" s="4"/>
      <c r="C363" s="10"/>
      <c r="D363" s="10"/>
      <c r="E363" s="10"/>
      <c r="G363" s="69" t="s">
        <v>1254</v>
      </c>
      <c r="H363" s="4"/>
      <c r="I363" s="10"/>
      <c r="J363" s="10"/>
      <c r="K363" s="10"/>
      <c r="M363" s="69" t="s">
        <v>1255</v>
      </c>
      <c r="N363" s="4"/>
      <c r="O363" s="10"/>
      <c r="P363" s="10"/>
      <c r="Q363" s="10"/>
      <c r="S363" s="69" t="s">
        <v>1256</v>
      </c>
      <c r="T363" s="4"/>
      <c r="U363" s="10"/>
      <c r="V363" s="10"/>
      <c r="W363" s="10"/>
      <c r="Y363" s="69" t="s">
        <v>1257</v>
      </c>
      <c r="Z363" s="4"/>
      <c r="AA363" s="10"/>
      <c r="AB363" s="10"/>
      <c r="AC363" s="10"/>
      <c r="AE363" s="6" t="s">
        <v>1258</v>
      </c>
    </row>
    <row r="364" spans="1:37" ht="45" x14ac:dyDescent="0.25">
      <c r="A364" s="70"/>
      <c r="B364" s="70"/>
      <c r="C364" s="71" t="s">
        <v>26</v>
      </c>
      <c r="D364" s="71" t="s">
        <v>27</v>
      </c>
      <c r="E364" s="71" t="s">
        <v>28</v>
      </c>
      <c r="G364" s="70"/>
      <c r="H364" s="70"/>
      <c r="I364" s="71" t="s">
        <v>26</v>
      </c>
      <c r="J364" s="71" t="s">
        <v>27</v>
      </c>
      <c r="K364" s="71" t="s">
        <v>28</v>
      </c>
      <c r="M364" s="70"/>
      <c r="N364" s="70"/>
      <c r="O364" s="71" t="s">
        <v>26</v>
      </c>
      <c r="P364" s="71" t="s">
        <v>27</v>
      </c>
      <c r="Q364" s="71" t="s">
        <v>28</v>
      </c>
      <c r="S364" s="70"/>
      <c r="T364" s="70"/>
      <c r="U364" s="71" t="s">
        <v>26</v>
      </c>
      <c r="V364" s="71" t="s">
        <v>27</v>
      </c>
      <c r="W364" s="71" t="s">
        <v>28</v>
      </c>
      <c r="Y364" s="70"/>
      <c r="Z364" s="70"/>
      <c r="AA364" s="71" t="s">
        <v>26</v>
      </c>
      <c r="AB364" s="71" t="s">
        <v>27</v>
      </c>
      <c r="AC364" s="71" t="s">
        <v>28</v>
      </c>
      <c r="AE364" s="71" t="s">
        <v>685</v>
      </c>
      <c r="AF364" s="71" t="s">
        <v>26</v>
      </c>
      <c r="AG364" s="71" t="s">
        <v>27</v>
      </c>
      <c r="AH364" s="71" t="s">
        <v>28</v>
      </c>
      <c r="AJ364" s="124" t="s">
        <v>39</v>
      </c>
      <c r="AK364" s="124" t="s">
        <v>1301</v>
      </c>
    </row>
    <row r="365" spans="1:37" x14ac:dyDescent="0.25">
      <c r="A365" s="90" t="s">
        <v>29</v>
      </c>
      <c r="B365" s="90"/>
      <c r="C365" s="91">
        <v>19</v>
      </c>
      <c r="D365" s="91">
        <v>-4.71</v>
      </c>
      <c r="E365" s="91">
        <v>128.71</v>
      </c>
      <c r="G365" s="90" t="s">
        <v>29</v>
      </c>
      <c r="H365" s="90"/>
      <c r="I365" s="91">
        <v>21</v>
      </c>
      <c r="J365" s="91">
        <v>49.14</v>
      </c>
      <c r="K365" s="91">
        <v>157.86000000000001</v>
      </c>
      <c r="M365" s="90" t="s">
        <v>1284</v>
      </c>
      <c r="N365" s="90"/>
      <c r="O365" s="91">
        <v>18</v>
      </c>
      <c r="P365" s="91">
        <v>23.57</v>
      </c>
      <c r="Q365" s="91">
        <v>164.29</v>
      </c>
      <c r="S365" s="90" t="s">
        <v>29</v>
      </c>
      <c r="T365" s="90"/>
      <c r="U365" s="91">
        <v>20</v>
      </c>
      <c r="V365" s="91">
        <v>46.86</v>
      </c>
      <c r="W365" s="91">
        <v>193.14</v>
      </c>
      <c r="Y365" s="90" t="s">
        <v>29</v>
      </c>
      <c r="Z365" s="90"/>
      <c r="AA365" s="91">
        <v>18</v>
      </c>
      <c r="AB365" s="91">
        <v>11.86</v>
      </c>
      <c r="AC365" s="91">
        <v>187.29</v>
      </c>
      <c r="AE365" s="90" t="s">
        <v>29</v>
      </c>
      <c r="AF365" s="225">
        <f>AVERAGE(O365,I365,C365,U365,AA365)</f>
        <v>19.2</v>
      </c>
      <c r="AG365" s="225">
        <f>AVERAGE(P365,J365,D365,V365,AB365)</f>
        <v>25.344000000000001</v>
      </c>
      <c r="AH365" s="225">
        <f t="shared" ref="AH365:AH376" si="153">AVERAGE(Q365,K365,E365,W365,AC365)</f>
        <v>166.25799999999998</v>
      </c>
      <c r="AJ365" s="90" t="s">
        <v>29</v>
      </c>
    </row>
    <row r="366" spans="1:37" x14ac:dyDescent="0.25">
      <c r="A366" s="90" t="s">
        <v>35</v>
      </c>
      <c r="B366" s="90"/>
      <c r="C366" s="91">
        <v>16</v>
      </c>
      <c r="D366" s="91">
        <v>1</v>
      </c>
      <c r="E366" s="91">
        <v>198.86</v>
      </c>
      <c r="G366" s="90" t="s">
        <v>35</v>
      </c>
      <c r="H366" s="90"/>
      <c r="I366" s="91">
        <v>18</v>
      </c>
      <c r="J366" s="91">
        <v>15.71</v>
      </c>
      <c r="K366" s="91">
        <v>195.57</v>
      </c>
      <c r="M366" s="90" t="s">
        <v>1286</v>
      </c>
      <c r="N366" s="90"/>
      <c r="O366" s="91">
        <v>19</v>
      </c>
      <c r="P366" s="91">
        <v>6.14</v>
      </c>
      <c r="Q366" s="91">
        <v>184.14</v>
      </c>
      <c r="S366" s="90" t="s">
        <v>35</v>
      </c>
      <c r="T366" s="90"/>
      <c r="U366" s="91">
        <v>21</v>
      </c>
      <c r="V366" s="91">
        <v>36.29</v>
      </c>
      <c r="W366" s="91">
        <v>200.86</v>
      </c>
      <c r="Y366" s="90" t="s">
        <v>35</v>
      </c>
      <c r="Z366" s="90"/>
      <c r="AA366" s="91">
        <v>23</v>
      </c>
      <c r="AB366" s="91">
        <v>3.43</v>
      </c>
      <c r="AC366" s="91">
        <v>182.29</v>
      </c>
      <c r="AE366" s="90" t="s">
        <v>35</v>
      </c>
      <c r="AF366" s="225">
        <f t="shared" ref="AF366:AF376" si="154">AVERAGE(O366,I366,C366,U366,AA366)</f>
        <v>19.399999999999999</v>
      </c>
      <c r="AG366" s="201">
        <f t="shared" ref="AG366:AG375" si="155">AVERAGE(P366,J366,D366,V366,AB366)</f>
        <v>12.513999999999999</v>
      </c>
      <c r="AH366" s="225">
        <f t="shared" si="153"/>
        <v>192.34399999999999</v>
      </c>
      <c r="AJ366" s="90" t="s">
        <v>35</v>
      </c>
    </row>
    <row r="367" spans="1:37" x14ac:dyDescent="0.25">
      <c r="A367" s="90" t="s">
        <v>32</v>
      </c>
      <c r="B367" s="90"/>
      <c r="C367" s="91">
        <v>11</v>
      </c>
      <c r="D367" s="91">
        <v>28.57</v>
      </c>
      <c r="E367" s="91">
        <v>173.71</v>
      </c>
      <c r="G367" s="90" t="s">
        <v>32</v>
      </c>
      <c r="H367" s="90"/>
      <c r="I367" s="91">
        <v>12</v>
      </c>
      <c r="J367" s="91">
        <v>29.43</v>
      </c>
      <c r="K367" s="91">
        <v>191.29</v>
      </c>
      <c r="M367" s="90" t="s">
        <v>32</v>
      </c>
      <c r="N367" s="90"/>
      <c r="O367" s="91">
        <v>19</v>
      </c>
      <c r="P367" s="91">
        <v>39.14</v>
      </c>
      <c r="Q367" s="91">
        <v>212.29</v>
      </c>
      <c r="S367" s="90" t="s">
        <v>32</v>
      </c>
      <c r="T367" s="90"/>
      <c r="U367" s="91">
        <v>21</v>
      </c>
      <c r="V367" s="91">
        <v>48.43</v>
      </c>
      <c r="W367" s="91">
        <v>240.71</v>
      </c>
      <c r="Y367" s="90" t="s">
        <v>32</v>
      </c>
      <c r="Z367" s="90"/>
      <c r="AA367" s="91">
        <v>28</v>
      </c>
      <c r="AB367" s="91">
        <v>-7.43</v>
      </c>
      <c r="AC367" s="91">
        <v>207.14</v>
      </c>
      <c r="AE367" s="90" t="s">
        <v>32</v>
      </c>
      <c r="AF367" s="201">
        <f t="shared" si="154"/>
        <v>18.2</v>
      </c>
      <c r="AG367" s="225">
        <f t="shared" si="155"/>
        <v>27.627999999999997</v>
      </c>
      <c r="AH367" s="225">
        <f t="shared" si="153"/>
        <v>205.02799999999996</v>
      </c>
      <c r="AJ367" s="90" t="s">
        <v>32</v>
      </c>
    </row>
    <row r="368" spans="1:37" x14ac:dyDescent="0.25">
      <c r="A368" s="90" t="s">
        <v>11</v>
      </c>
      <c r="B368" s="90"/>
      <c r="C368" s="91">
        <v>18</v>
      </c>
      <c r="D368" s="91">
        <v>38.43</v>
      </c>
      <c r="E368" s="91">
        <v>202</v>
      </c>
      <c r="G368" s="90" t="s">
        <v>11</v>
      </c>
      <c r="H368" s="90"/>
      <c r="I368" s="91">
        <v>15</v>
      </c>
      <c r="J368" s="91">
        <v>38.86</v>
      </c>
      <c r="K368" s="91">
        <v>225.86</v>
      </c>
      <c r="M368" s="90" t="s">
        <v>1285</v>
      </c>
      <c r="N368" s="90"/>
      <c r="O368" s="91">
        <v>19</v>
      </c>
      <c r="P368" s="91">
        <v>50.14</v>
      </c>
      <c r="Q368" s="91">
        <v>258.43</v>
      </c>
      <c r="S368" s="90" t="s">
        <v>11</v>
      </c>
      <c r="T368" s="90"/>
      <c r="U368" s="91">
        <v>21</v>
      </c>
      <c r="V368" s="91">
        <v>14.86</v>
      </c>
      <c r="W368" s="91">
        <v>253.57</v>
      </c>
      <c r="Y368" s="90" t="s">
        <v>11</v>
      </c>
      <c r="Z368" s="90"/>
      <c r="AA368" s="91">
        <v>25</v>
      </c>
      <c r="AB368" s="91">
        <v>0.28999999999999998</v>
      </c>
      <c r="AC368" s="91">
        <v>241.57</v>
      </c>
      <c r="AE368" s="90" t="s">
        <v>11</v>
      </c>
      <c r="AF368" s="225">
        <f t="shared" si="154"/>
        <v>19.600000000000001</v>
      </c>
      <c r="AG368" s="225">
        <f t="shared" si="155"/>
        <v>28.516000000000002</v>
      </c>
      <c r="AH368" s="225">
        <f t="shared" si="153"/>
        <v>236.28599999999997</v>
      </c>
      <c r="AJ368" s="90" t="s">
        <v>11</v>
      </c>
    </row>
    <row r="369" spans="1:36" x14ac:dyDescent="0.25">
      <c r="A369" s="90" t="s">
        <v>48</v>
      </c>
      <c r="B369" s="90"/>
      <c r="C369" s="91">
        <v>23</v>
      </c>
      <c r="D369" s="91">
        <v>2.86</v>
      </c>
      <c r="E369" s="91">
        <v>151.13999999999999</v>
      </c>
      <c r="G369" s="90" t="s">
        <v>48</v>
      </c>
      <c r="H369" s="90"/>
      <c r="I369" s="91">
        <v>21</v>
      </c>
      <c r="J369" s="91">
        <v>26</v>
      </c>
      <c r="K369" s="91">
        <v>156.13999999999999</v>
      </c>
      <c r="M369" s="90" t="s">
        <v>48</v>
      </c>
      <c r="N369" s="90"/>
      <c r="O369" s="91">
        <v>20</v>
      </c>
      <c r="P369" s="91">
        <v>21.86</v>
      </c>
      <c r="Q369" s="91">
        <v>164.29</v>
      </c>
      <c r="S369" s="90" t="s">
        <v>48</v>
      </c>
      <c r="T369" s="90"/>
      <c r="U369" s="91">
        <v>21</v>
      </c>
      <c r="V369" s="91">
        <v>30.86</v>
      </c>
      <c r="W369" s="91">
        <v>175.14</v>
      </c>
      <c r="Y369" s="90" t="s">
        <v>48</v>
      </c>
      <c r="Z369" s="90"/>
      <c r="AA369" s="91">
        <v>20</v>
      </c>
      <c r="AB369" s="91">
        <v>8.14</v>
      </c>
      <c r="AC369" s="91">
        <v>163.13999999999999</v>
      </c>
      <c r="AE369" s="90" t="s">
        <v>48</v>
      </c>
      <c r="AF369" s="225">
        <f>AVERAGE(O369,I369,C369,U369,AA369)</f>
        <v>21</v>
      </c>
      <c r="AG369" s="201">
        <f t="shared" si="155"/>
        <v>17.943999999999999</v>
      </c>
      <c r="AH369" s="201">
        <f t="shared" si="153"/>
        <v>161.96999999999997</v>
      </c>
      <c r="AJ369" s="90" t="s">
        <v>48</v>
      </c>
    </row>
    <row r="370" spans="1:36" s="16" customFormat="1" x14ac:dyDescent="0.25">
      <c r="A370" s="14" t="s">
        <v>36</v>
      </c>
      <c r="B370" s="14"/>
      <c r="C370" s="130">
        <v>22</v>
      </c>
      <c r="D370" s="130">
        <v>0</v>
      </c>
      <c r="E370" s="130">
        <v>110</v>
      </c>
      <c r="G370" s="14" t="s">
        <v>36</v>
      </c>
      <c r="H370" s="14"/>
      <c r="I370" s="130">
        <v>15</v>
      </c>
      <c r="J370" s="130">
        <v>0</v>
      </c>
      <c r="K370" s="130">
        <v>95.29</v>
      </c>
      <c r="M370" s="14" t="s">
        <v>36</v>
      </c>
      <c r="N370" s="14"/>
      <c r="O370" s="130">
        <v>16</v>
      </c>
      <c r="P370" s="130">
        <v>6.14</v>
      </c>
      <c r="Q370" s="130">
        <v>79.709999999999994</v>
      </c>
      <c r="S370" s="14" t="s">
        <v>36</v>
      </c>
      <c r="T370" s="14"/>
      <c r="U370" s="130">
        <v>16</v>
      </c>
      <c r="V370" s="130">
        <v>7.29</v>
      </c>
      <c r="W370" s="130">
        <v>71.709999999999994</v>
      </c>
      <c r="Y370" s="14" t="s">
        <v>36</v>
      </c>
      <c r="Z370" s="14"/>
      <c r="AA370" s="130">
        <v>12</v>
      </c>
      <c r="AB370" s="130">
        <v>0</v>
      </c>
      <c r="AC370" s="130">
        <v>42.86</v>
      </c>
      <c r="AE370" s="14" t="s">
        <v>36</v>
      </c>
      <c r="AF370" s="232">
        <f>AVERAGE(O370,I370,C370,U370,AA370)</f>
        <v>16.2</v>
      </c>
      <c r="AG370" s="232">
        <f t="shared" si="155"/>
        <v>2.6859999999999999</v>
      </c>
      <c r="AH370" s="232">
        <f t="shared" si="153"/>
        <v>79.914000000000001</v>
      </c>
      <c r="AJ370" s="14" t="s">
        <v>36</v>
      </c>
    </row>
    <row r="371" spans="1:36" x14ac:dyDescent="0.25">
      <c r="A371" s="27" t="s">
        <v>481</v>
      </c>
      <c r="B371" s="27"/>
      <c r="C371" s="28">
        <v>14</v>
      </c>
      <c r="D371" s="28">
        <v>11</v>
      </c>
      <c r="E371" s="28">
        <v>152.13999999999999</v>
      </c>
      <c r="G371" s="27" t="s">
        <v>481</v>
      </c>
      <c r="H371" s="27"/>
      <c r="I371" s="28">
        <v>18</v>
      </c>
      <c r="J371" s="28">
        <v>-1.71</v>
      </c>
      <c r="K371" s="28">
        <v>132.57</v>
      </c>
      <c r="M371" s="14" t="s">
        <v>481</v>
      </c>
      <c r="N371" s="14"/>
      <c r="O371" s="130">
        <v>18</v>
      </c>
      <c r="P371" s="130">
        <v>25</v>
      </c>
      <c r="Q371" s="130">
        <v>140.86000000000001</v>
      </c>
      <c r="S371" s="14" t="s">
        <v>481</v>
      </c>
      <c r="T371" s="14"/>
      <c r="U371" s="130">
        <v>17</v>
      </c>
      <c r="V371" s="130">
        <v>2</v>
      </c>
      <c r="W371" s="130">
        <v>125.86</v>
      </c>
      <c r="Y371" s="14" t="s">
        <v>481</v>
      </c>
      <c r="Z371" s="14"/>
      <c r="AA371" s="130">
        <v>20</v>
      </c>
      <c r="AB371" s="130">
        <v>0</v>
      </c>
      <c r="AC371" s="130">
        <v>107</v>
      </c>
      <c r="AE371" s="27" t="s">
        <v>690</v>
      </c>
      <c r="AF371" s="186">
        <f t="shared" si="154"/>
        <v>17.399999999999999</v>
      </c>
      <c r="AG371" s="186">
        <f>AVERAGE(P371,J371,D371,V371,AB371)</f>
        <v>7.258</v>
      </c>
      <c r="AH371" s="186">
        <f t="shared" si="153"/>
        <v>131.68599999999998</v>
      </c>
      <c r="AJ371" s="27" t="s">
        <v>690</v>
      </c>
    </row>
    <row r="372" spans="1:36" x14ac:dyDescent="0.25">
      <c r="A372" s="27" t="s">
        <v>37</v>
      </c>
      <c r="B372" s="27"/>
      <c r="C372" s="28">
        <v>18</v>
      </c>
      <c r="D372" s="28">
        <v>24</v>
      </c>
      <c r="E372" s="28">
        <v>156.29</v>
      </c>
      <c r="G372" s="27" t="s">
        <v>37</v>
      </c>
      <c r="H372" s="27"/>
      <c r="I372" s="28">
        <v>18</v>
      </c>
      <c r="J372" s="28">
        <v>19.43</v>
      </c>
      <c r="K372" s="28">
        <v>156.71</v>
      </c>
      <c r="M372" s="27" t="s">
        <v>37</v>
      </c>
      <c r="N372" s="27"/>
      <c r="O372" s="28">
        <v>20</v>
      </c>
      <c r="P372" s="28">
        <v>9.43</v>
      </c>
      <c r="Q372" s="28">
        <v>146.43</v>
      </c>
      <c r="S372" s="27" t="s">
        <v>37</v>
      </c>
      <c r="T372" s="27"/>
      <c r="U372" s="28">
        <v>23</v>
      </c>
      <c r="V372" s="28">
        <v>11.71</v>
      </c>
      <c r="W372" s="28">
        <v>136.71</v>
      </c>
      <c r="Y372" s="27" t="s">
        <v>37</v>
      </c>
      <c r="Z372" s="27"/>
      <c r="AA372" s="28">
        <v>23</v>
      </c>
      <c r="AB372" s="28">
        <v>10</v>
      </c>
      <c r="AC372" s="28">
        <v>124.14</v>
      </c>
      <c r="AE372" s="27" t="s">
        <v>37</v>
      </c>
      <c r="AF372" s="225">
        <f t="shared" si="154"/>
        <v>20.399999999999999</v>
      </c>
      <c r="AG372" s="186">
        <f t="shared" si="155"/>
        <v>14.913999999999998</v>
      </c>
      <c r="AH372" s="186">
        <f t="shared" si="153"/>
        <v>144.05599999999998</v>
      </c>
      <c r="AJ372" s="27" t="s">
        <v>37</v>
      </c>
    </row>
    <row r="373" spans="1:36" x14ac:dyDescent="0.25">
      <c r="A373" s="27" t="s">
        <v>9</v>
      </c>
      <c r="B373" s="27"/>
      <c r="C373" s="28">
        <v>15</v>
      </c>
      <c r="D373" s="28">
        <v>11.29</v>
      </c>
      <c r="E373" s="28">
        <v>141.86000000000001</v>
      </c>
      <c r="G373" s="27" t="s">
        <v>9</v>
      </c>
      <c r="H373" s="27"/>
      <c r="I373" s="28">
        <v>16</v>
      </c>
      <c r="J373" s="28">
        <v>8.86</v>
      </c>
      <c r="K373" s="28">
        <v>135</v>
      </c>
      <c r="M373" s="27" t="s">
        <v>9</v>
      </c>
      <c r="N373" s="27"/>
      <c r="O373" s="28">
        <v>19</v>
      </c>
      <c r="P373" s="28">
        <v>32.57</v>
      </c>
      <c r="Q373" s="28">
        <v>148.57</v>
      </c>
      <c r="S373" s="27" t="s">
        <v>9</v>
      </c>
      <c r="T373" s="27"/>
      <c r="U373" s="28">
        <v>25</v>
      </c>
      <c r="V373" s="28">
        <v>42.29</v>
      </c>
      <c r="W373" s="28">
        <v>166.29</v>
      </c>
      <c r="Y373" s="27" t="s">
        <v>9</v>
      </c>
      <c r="Z373" s="27"/>
      <c r="AA373" s="28">
        <v>24</v>
      </c>
      <c r="AB373" s="28">
        <v>8.14</v>
      </c>
      <c r="AC373" s="28">
        <v>151.57</v>
      </c>
      <c r="AE373" s="27" t="s">
        <v>9</v>
      </c>
      <c r="AF373" s="225">
        <f t="shared" si="154"/>
        <v>19.8</v>
      </c>
      <c r="AG373" s="225">
        <f t="shared" si="155"/>
        <v>20.63</v>
      </c>
      <c r="AH373" s="186">
        <f t="shared" si="153"/>
        <v>148.65799999999999</v>
      </c>
      <c r="AJ373" s="27" t="s">
        <v>9</v>
      </c>
    </row>
    <row r="374" spans="1:36" x14ac:dyDescent="0.25">
      <c r="A374" s="27" t="s">
        <v>12</v>
      </c>
      <c r="B374" s="27"/>
      <c r="C374" s="28">
        <v>12</v>
      </c>
      <c r="D374" s="28">
        <v>10.57</v>
      </c>
      <c r="E374" s="28">
        <v>110</v>
      </c>
      <c r="G374" s="27" t="s">
        <v>12</v>
      </c>
      <c r="H374" s="27"/>
      <c r="I374" s="28">
        <v>13</v>
      </c>
      <c r="J374" s="28">
        <v>32.29</v>
      </c>
      <c r="K374" s="28">
        <v>129.71</v>
      </c>
      <c r="M374" s="27" t="s">
        <v>12</v>
      </c>
      <c r="N374" s="27"/>
      <c r="O374" s="28">
        <v>13</v>
      </c>
      <c r="P374" s="28">
        <v>25.29</v>
      </c>
      <c r="Q374" s="28">
        <v>142.86000000000001</v>
      </c>
      <c r="S374" s="27" t="s">
        <v>12</v>
      </c>
      <c r="T374" s="27"/>
      <c r="U374" s="28">
        <v>14</v>
      </c>
      <c r="V374" s="28">
        <v>22</v>
      </c>
      <c r="W374" s="28">
        <v>151.71</v>
      </c>
      <c r="Y374" s="27" t="s">
        <v>12</v>
      </c>
      <c r="Z374" s="27"/>
      <c r="AA374" s="28">
        <v>16</v>
      </c>
      <c r="AB374" s="28">
        <v>5.29</v>
      </c>
      <c r="AC374" s="28">
        <v>143.86000000000001</v>
      </c>
      <c r="AE374" s="27" t="s">
        <v>12</v>
      </c>
      <c r="AF374" s="186">
        <f t="shared" si="154"/>
        <v>13.6</v>
      </c>
      <c r="AG374" s="225">
        <f t="shared" si="155"/>
        <v>19.088000000000001</v>
      </c>
      <c r="AH374" s="186">
        <f t="shared" si="153"/>
        <v>135.62800000000001</v>
      </c>
      <c r="AJ374" s="27" t="s">
        <v>12</v>
      </c>
    </row>
    <row r="375" spans="1:36" x14ac:dyDescent="0.25">
      <c r="A375" s="27" t="s">
        <v>10</v>
      </c>
      <c r="B375" s="27"/>
      <c r="C375" s="28">
        <v>20</v>
      </c>
      <c r="D375" s="28">
        <v>17.86</v>
      </c>
      <c r="E375" s="28">
        <v>215.29</v>
      </c>
      <c r="G375" s="27" t="s">
        <v>10</v>
      </c>
      <c r="H375" s="27"/>
      <c r="I375" s="28">
        <v>18</v>
      </c>
      <c r="J375" s="28">
        <v>31</v>
      </c>
      <c r="K375" s="28">
        <v>228.29</v>
      </c>
      <c r="M375" s="27" t="s">
        <v>10</v>
      </c>
      <c r="N375" s="27"/>
      <c r="O375" s="28">
        <v>17</v>
      </c>
      <c r="P375" s="28">
        <v>37.57</v>
      </c>
      <c r="Q375" s="28">
        <v>250.43</v>
      </c>
      <c r="S375" s="27" t="s">
        <v>10</v>
      </c>
      <c r="T375" s="27"/>
      <c r="U375" s="28">
        <v>21</v>
      </c>
      <c r="V375" s="28">
        <v>35.29</v>
      </c>
      <c r="W375" s="28">
        <v>266.29000000000002</v>
      </c>
      <c r="Y375" s="27" t="s">
        <v>10</v>
      </c>
      <c r="Z375" s="27"/>
      <c r="AA375" s="28">
        <v>25</v>
      </c>
      <c r="AB375" s="28">
        <v>15</v>
      </c>
      <c r="AC375" s="28">
        <v>257.29000000000002</v>
      </c>
      <c r="AE375" s="27" t="s">
        <v>10</v>
      </c>
      <c r="AF375" s="225">
        <f t="shared" si="154"/>
        <v>20.2</v>
      </c>
      <c r="AG375" s="225">
        <f t="shared" si="155"/>
        <v>27.344000000000001</v>
      </c>
      <c r="AH375" s="225">
        <f t="shared" si="153"/>
        <v>243.51799999999997</v>
      </c>
      <c r="AJ375" s="27" t="s">
        <v>10</v>
      </c>
    </row>
    <row r="376" spans="1:36" x14ac:dyDescent="0.25">
      <c r="A376" s="27" t="s">
        <v>672</v>
      </c>
      <c r="B376" s="27"/>
      <c r="C376" s="28">
        <v>14</v>
      </c>
      <c r="D376" s="28">
        <v>17</v>
      </c>
      <c r="E376" s="28">
        <v>119.57</v>
      </c>
      <c r="G376" s="27" t="s">
        <v>672</v>
      </c>
      <c r="H376" s="27"/>
      <c r="I376" s="28">
        <v>15</v>
      </c>
      <c r="J376" s="28">
        <v>8.86</v>
      </c>
      <c r="K376" s="28">
        <v>114.57</v>
      </c>
      <c r="M376" s="27" t="s">
        <v>672</v>
      </c>
      <c r="N376" s="27"/>
      <c r="O376" s="28">
        <v>12</v>
      </c>
      <c r="P376" s="28">
        <v>23.71</v>
      </c>
      <c r="Q376" s="28">
        <v>127.14</v>
      </c>
      <c r="S376" s="27" t="s">
        <v>672</v>
      </c>
      <c r="T376" s="27"/>
      <c r="U376" s="28">
        <v>18</v>
      </c>
      <c r="V376" s="28">
        <v>12.14</v>
      </c>
      <c r="W376" s="28">
        <v>122.29</v>
      </c>
      <c r="Y376" s="27" t="s">
        <v>672</v>
      </c>
      <c r="Z376" s="27"/>
      <c r="AA376" s="28">
        <v>22</v>
      </c>
      <c r="AB376" s="28">
        <v>25.86</v>
      </c>
      <c r="AC376" s="28">
        <v>130</v>
      </c>
      <c r="AE376" s="27" t="s">
        <v>672</v>
      </c>
      <c r="AF376" s="186">
        <f t="shared" si="154"/>
        <v>16.2</v>
      </c>
      <c r="AG376" s="186">
        <f>AVERAGE(P376,J376,D376,V376,AB376)</f>
        <v>17.513999999999999</v>
      </c>
      <c r="AH376" s="186">
        <f t="shared" si="153"/>
        <v>122.71399999999998</v>
      </c>
      <c r="AJ376" s="27" t="s">
        <v>672</v>
      </c>
    </row>
    <row r="377" spans="1:36" x14ac:dyDescent="0.25">
      <c r="A377" s="2" t="s">
        <v>1156</v>
      </c>
      <c r="B377" s="2"/>
      <c r="C377" s="28"/>
      <c r="D377" s="28"/>
      <c r="E377" s="28"/>
      <c r="G377" s="2" t="s">
        <v>1156</v>
      </c>
      <c r="H377" s="2"/>
      <c r="I377" s="28"/>
      <c r="J377" s="28"/>
      <c r="K377" s="28"/>
      <c r="M377" s="2" t="s">
        <v>1156</v>
      </c>
      <c r="N377" s="14"/>
      <c r="O377" s="130"/>
      <c r="P377" s="130"/>
      <c r="Q377" s="130"/>
      <c r="S377" s="2" t="s">
        <v>1156</v>
      </c>
      <c r="T377" s="2"/>
      <c r="U377" s="130">
        <v>0</v>
      </c>
      <c r="V377" s="130">
        <v>25.86</v>
      </c>
      <c r="W377" s="130">
        <v>25.86</v>
      </c>
      <c r="Y377" s="2" t="s">
        <v>1156</v>
      </c>
      <c r="Z377" s="14"/>
      <c r="AA377" s="130">
        <v>0</v>
      </c>
      <c r="AB377" s="130">
        <v>12.86</v>
      </c>
      <c r="AC377" s="130">
        <v>37.71</v>
      </c>
      <c r="AE377" s="2" t="s">
        <v>1156</v>
      </c>
      <c r="AF377" s="14">
        <f>AVERAGE(O377,I377,C377,U377,AA377)</f>
        <v>0</v>
      </c>
      <c r="AG377" s="11">
        <f>AVERAGE(P377,J377,D377,V377,AB377)</f>
        <v>19.36</v>
      </c>
      <c r="AH377" s="232">
        <f>AVERAGE(Q377,K377,E377,W377,AC377)</f>
        <v>31.785</v>
      </c>
      <c r="AJ377" s="2" t="s">
        <v>1156</v>
      </c>
    </row>
    <row r="378" spans="1:36" x14ac:dyDescent="0.25">
      <c r="A378" s="72" t="s">
        <v>39</v>
      </c>
      <c r="B378" s="72"/>
      <c r="C378" s="8">
        <f>SUM(C363:C377)</f>
        <v>202</v>
      </c>
      <c r="D378" s="8">
        <f>SUM(D363:D377)</f>
        <v>157.87</v>
      </c>
      <c r="E378" s="8">
        <f>SUM(E363:E377)</f>
        <v>1859.57</v>
      </c>
      <c r="G378" s="72" t="s">
        <v>39</v>
      </c>
      <c r="H378" s="72"/>
      <c r="I378" s="8">
        <f>SUM(I363:I377)</f>
        <v>200</v>
      </c>
      <c r="J378" s="8">
        <f>SUM(J363:J377)</f>
        <v>257.86999999999995</v>
      </c>
      <c r="K378" s="8">
        <f>SUM(K363:K377)</f>
        <v>1918.86</v>
      </c>
      <c r="M378" s="72" t="s">
        <v>39</v>
      </c>
      <c r="N378" s="72"/>
      <c r="O378" s="8">
        <f>SUM(O363:O377)</f>
        <v>210</v>
      </c>
      <c r="P378" s="8">
        <f>SUM(P363:P377)</f>
        <v>300.55999999999995</v>
      </c>
      <c r="Q378" s="8">
        <f>SUM(Q363:Q377)</f>
        <v>2019.44</v>
      </c>
      <c r="S378" s="72" t="s">
        <v>39</v>
      </c>
      <c r="T378" s="72"/>
      <c r="U378" s="8">
        <f>SUM(U363:U377)</f>
        <v>238</v>
      </c>
      <c r="V378" s="8">
        <f>SUM(V363:V377)</f>
        <v>335.88000000000005</v>
      </c>
      <c r="W378" s="8">
        <f>SUM(W363:W377)</f>
        <v>2130.1400000000003</v>
      </c>
      <c r="Y378" s="72" t="s">
        <v>39</v>
      </c>
      <c r="Z378" s="72"/>
      <c r="AA378" s="8">
        <f>SUM(AA363:AA377)</f>
        <v>256</v>
      </c>
      <c r="AB378" s="8">
        <f>SUM(AB363:AB377)</f>
        <v>93.44</v>
      </c>
      <c r="AC378" s="8">
        <f>SUM(AC363:AC377)</f>
        <v>1975.8600000000001</v>
      </c>
      <c r="AE378" s="144" t="s">
        <v>697</v>
      </c>
      <c r="AF378" s="217">
        <f>AVERAGE(AF365:AF376)</f>
        <v>18.433333333333334</v>
      </c>
      <c r="AG378" s="217">
        <f>AVERAGE(AG365:AG376)</f>
        <v>18.448333333333334</v>
      </c>
      <c r="AH378" s="217">
        <f>AVERAGE(AH365:AH376)</f>
        <v>164.00499999999997</v>
      </c>
    </row>
    <row r="379" spans="1:36" x14ac:dyDescent="0.25">
      <c r="A379" s="72"/>
      <c r="B379" s="72"/>
      <c r="C379" s="7"/>
      <c r="D379" s="7"/>
      <c r="E379" s="7"/>
      <c r="G379" s="72"/>
      <c r="H379" s="72"/>
      <c r="I379" s="7"/>
      <c r="J379" s="7"/>
      <c r="K379" s="7"/>
      <c r="M379" s="72"/>
      <c r="N379" s="72"/>
      <c r="O379" s="7"/>
      <c r="P379" s="7"/>
      <c r="Q379" s="7"/>
      <c r="S379" s="72"/>
      <c r="T379" s="72"/>
      <c r="U379" s="7"/>
      <c r="V379" s="7"/>
      <c r="W379" s="7"/>
      <c r="Y379" s="72"/>
      <c r="Z379" s="72"/>
      <c r="AA379" s="7"/>
      <c r="AB379" s="7"/>
      <c r="AC379" s="7"/>
    </row>
    <row r="380" spans="1:36" x14ac:dyDescent="0.25">
      <c r="A380" s="72"/>
      <c r="B380" s="6" t="s">
        <v>477</v>
      </c>
      <c r="C380" s="131">
        <f>SUM(C365:C369)</f>
        <v>87</v>
      </c>
      <c r="D380" s="131">
        <f>SUM(D365:D369)</f>
        <v>66.150000000000006</v>
      </c>
      <c r="E380" s="131">
        <f>SUM(E365:E369)</f>
        <v>854.42000000000007</v>
      </c>
      <c r="G380" s="72"/>
      <c r="H380" s="6" t="s">
        <v>477</v>
      </c>
      <c r="I380" s="131">
        <f>SUM(I365:I369)</f>
        <v>87</v>
      </c>
      <c r="J380" s="93">
        <f>SUM(J365:J369)</f>
        <v>159.13999999999999</v>
      </c>
      <c r="K380" s="131">
        <f>SUM(K365:K369)</f>
        <v>926.72</v>
      </c>
      <c r="M380" s="72"/>
      <c r="N380" s="6" t="s">
        <v>477</v>
      </c>
      <c r="O380" s="131">
        <f>SUM(O365:O369)</f>
        <v>95</v>
      </c>
      <c r="P380" s="131">
        <f>SUM(P365:P369)</f>
        <v>140.85</v>
      </c>
      <c r="Q380" s="131">
        <f>SUM(Q365:Q369)</f>
        <v>983.43999999999983</v>
      </c>
      <c r="S380" s="72"/>
      <c r="T380" s="6" t="s">
        <v>477</v>
      </c>
      <c r="U380" s="131">
        <f>SUM(U365:U369)</f>
        <v>104</v>
      </c>
      <c r="V380" s="131">
        <f>SUM(V365:V369)</f>
        <v>177.3</v>
      </c>
      <c r="W380" s="131">
        <f>SUM(W365:W369)</f>
        <v>1063.42</v>
      </c>
      <c r="Y380" s="72"/>
      <c r="Z380" s="6" t="s">
        <v>477</v>
      </c>
      <c r="AA380" s="131">
        <f>SUM(AA365:AA369)</f>
        <v>114</v>
      </c>
      <c r="AB380" s="131">
        <f>SUM(AB365:AB369)</f>
        <v>16.29</v>
      </c>
      <c r="AC380" s="131">
        <f>SUM(AC365:AC369)</f>
        <v>981.43</v>
      </c>
    </row>
    <row r="381" spans="1:36" x14ac:dyDescent="0.25">
      <c r="A381" s="68"/>
      <c r="B381" s="6" t="s">
        <v>479</v>
      </c>
      <c r="C381" s="93">
        <f>SUM(C370:C376)</f>
        <v>115</v>
      </c>
      <c r="D381" s="93">
        <f t="shared" ref="D381:E381" si="156">SUM(D370:D376)</f>
        <v>91.72</v>
      </c>
      <c r="E381" s="93">
        <f t="shared" si="156"/>
        <v>1005.1499999999999</v>
      </c>
      <c r="G381" s="68"/>
      <c r="H381" s="6" t="s">
        <v>479</v>
      </c>
      <c r="I381" s="93">
        <f>SUM(I370:I376)</f>
        <v>113</v>
      </c>
      <c r="J381" s="95">
        <f>SUM(J370:J376)</f>
        <v>98.73</v>
      </c>
      <c r="K381" s="93">
        <f>SUM(K370:K376)</f>
        <v>992.1400000000001</v>
      </c>
      <c r="M381" s="68"/>
      <c r="N381" s="6" t="s">
        <v>479</v>
      </c>
      <c r="O381" s="93">
        <f>SUM(O370:O376)</f>
        <v>115</v>
      </c>
      <c r="P381" s="93">
        <f t="shared" ref="P381:Q381" si="157">SUM(P370:P376)</f>
        <v>159.71</v>
      </c>
      <c r="Q381" s="93">
        <f t="shared" si="157"/>
        <v>1036</v>
      </c>
      <c r="S381" s="68"/>
      <c r="T381" s="6" t="s">
        <v>479</v>
      </c>
      <c r="U381" s="93">
        <f>SUM(U370:U376)</f>
        <v>134</v>
      </c>
      <c r="V381" s="93">
        <f t="shared" ref="V381:W381" si="158">SUM(V370:V376)</f>
        <v>132.71999999999997</v>
      </c>
      <c r="W381" s="93">
        <f t="shared" si="158"/>
        <v>1040.8599999999999</v>
      </c>
      <c r="Y381" s="68"/>
      <c r="Z381" s="6" t="s">
        <v>479</v>
      </c>
      <c r="AA381" s="93">
        <f>SUM(AA370:AA376)</f>
        <v>142</v>
      </c>
      <c r="AB381" s="93">
        <f t="shared" ref="AB381:AC381" si="159">SUM(AB370:AB376)</f>
        <v>64.289999999999992</v>
      </c>
      <c r="AC381" s="93">
        <f t="shared" si="159"/>
        <v>956.72</v>
      </c>
    </row>
    <row r="382" spans="1:36" ht="30" x14ac:dyDescent="0.25">
      <c r="A382" s="68" t="s">
        <v>50</v>
      </c>
      <c r="B382" s="6"/>
      <c r="C382" s="66"/>
      <c r="D382" s="66">
        <v>22</v>
      </c>
      <c r="E382" s="224">
        <f>SUM(D378/D382)</f>
        <v>7.1759090909090908</v>
      </c>
      <c r="G382" s="68" t="s">
        <v>50</v>
      </c>
      <c r="H382" s="6"/>
      <c r="I382" s="66"/>
      <c r="J382" s="66">
        <v>26</v>
      </c>
      <c r="K382" s="224">
        <f>SUM(J378/J382)</f>
        <v>9.9180769230769208</v>
      </c>
      <c r="M382" s="68" t="s">
        <v>50</v>
      </c>
      <c r="N382" s="6"/>
      <c r="O382" s="66"/>
      <c r="P382" s="66">
        <v>38</v>
      </c>
      <c r="Q382" s="224">
        <f>SUM(P378/P382)</f>
        <v>7.9094736842105249</v>
      </c>
      <c r="S382" s="68" t="s">
        <v>50</v>
      </c>
      <c r="T382" s="6"/>
      <c r="U382" s="66"/>
      <c r="V382" s="66">
        <v>62</v>
      </c>
      <c r="W382" s="224">
        <f>SUM(V378/V382)</f>
        <v>5.4174193548387102</v>
      </c>
      <c r="Y382" s="68" t="s">
        <v>50</v>
      </c>
      <c r="Z382" s="6"/>
      <c r="AA382" s="66"/>
      <c r="AB382" s="66">
        <v>49</v>
      </c>
      <c r="AC382" s="224">
        <f>SUM(AB378/AB382)</f>
        <v>1.9069387755102041</v>
      </c>
    </row>
    <row r="383" spans="1:36" x14ac:dyDescent="0.25">
      <c r="A383" s="72" t="s">
        <v>41</v>
      </c>
      <c r="B383" s="6"/>
      <c r="C383" s="8"/>
      <c r="D383" s="8"/>
      <c r="E383" s="8"/>
      <c r="G383" s="72" t="s">
        <v>41</v>
      </c>
      <c r="H383" s="6"/>
      <c r="I383" s="8"/>
      <c r="J383" s="8"/>
      <c r="K383" s="8"/>
      <c r="M383" s="72" t="s">
        <v>41</v>
      </c>
      <c r="N383" s="6"/>
      <c r="O383" s="8"/>
      <c r="P383" s="8"/>
      <c r="Q383" s="8"/>
      <c r="S383" s="72" t="s">
        <v>41</v>
      </c>
      <c r="T383" s="6"/>
      <c r="U383" s="8"/>
      <c r="V383" s="8"/>
      <c r="W383" s="8"/>
      <c r="Y383" s="72" t="s">
        <v>41</v>
      </c>
      <c r="Z383" s="6"/>
      <c r="AA383" s="8"/>
      <c r="AB383" s="8"/>
      <c r="AC383" s="8"/>
    </row>
    <row r="384" spans="1:36" x14ac:dyDescent="0.25">
      <c r="C384" s="12" t="e">
        <f>#REF!-#REF!</f>
        <v>#REF!</v>
      </c>
      <c r="D384" s="12" t="e">
        <f>#REF!-#REF!</f>
        <v>#REF!</v>
      </c>
      <c r="E384" s="12" t="e">
        <f>#REF!-#REF!</f>
        <v>#REF!</v>
      </c>
      <c r="I384" s="12" t="e">
        <f>#REF!-#REF!</f>
        <v>#REF!</v>
      </c>
      <c r="J384" s="12" t="e">
        <f>#REF!-#REF!</f>
        <v>#REF!</v>
      </c>
      <c r="K384" s="12" t="e">
        <f>#REF!-#REF!</f>
        <v>#REF!</v>
      </c>
      <c r="O384" s="12" t="e">
        <f>#REF!-#REF!</f>
        <v>#REF!</v>
      </c>
      <c r="P384" s="12" t="e">
        <f>#REF!-#REF!</f>
        <v>#REF!</v>
      </c>
      <c r="Q384" s="12" t="e">
        <f>#REF!-#REF!</f>
        <v>#REF!</v>
      </c>
      <c r="U384" s="12" t="e">
        <f>#REF!-#REF!</f>
        <v>#REF!</v>
      </c>
      <c r="V384" s="12" t="e">
        <f>#REF!-#REF!</f>
        <v>#REF!</v>
      </c>
      <c r="W384" s="12" t="e">
        <f>#REF!-#REF!</f>
        <v>#REF!</v>
      </c>
      <c r="AA384" s="12" t="e">
        <f>#REF!-#REF!</f>
        <v>#REF!</v>
      </c>
      <c r="AB384" s="12" t="e">
        <f>#REF!-#REF!</f>
        <v>#REF!</v>
      </c>
      <c r="AC384" s="12" t="e">
        <f>#REF!-#REF!</f>
        <v>#REF!</v>
      </c>
    </row>
    <row r="386" spans="1:28" ht="18.75" x14ac:dyDescent="0.3">
      <c r="A386" s="69" t="s">
        <v>1326</v>
      </c>
      <c r="B386" s="4"/>
      <c r="C386" s="10"/>
      <c r="D386" s="10"/>
      <c r="E386" s="10"/>
      <c r="G386" s="69" t="s">
        <v>1327</v>
      </c>
      <c r="H386" s="4"/>
      <c r="I386" s="10"/>
      <c r="J386" s="10"/>
      <c r="K386" s="10"/>
      <c r="M386" s="69" t="s">
        <v>1328</v>
      </c>
      <c r="N386" s="4"/>
      <c r="O386" s="10"/>
      <c r="P386" s="10"/>
      <c r="Q386" s="10"/>
      <c r="S386" s="69" t="s">
        <v>1329</v>
      </c>
      <c r="T386" s="4"/>
      <c r="U386" s="10"/>
      <c r="V386" s="10"/>
      <c r="W386" s="10"/>
      <c r="Y386" s="6" t="s">
        <v>1325</v>
      </c>
    </row>
    <row r="387" spans="1:28" ht="45" x14ac:dyDescent="0.25">
      <c r="A387" s="70"/>
      <c r="B387" s="70"/>
      <c r="C387" s="71" t="s">
        <v>26</v>
      </c>
      <c r="D387" s="71" t="s">
        <v>27</v>
      </c>
      <c r="E387" s="71" t="s">
        <v>28</v>
      </c>
      <c r="G387" s="70"/>
      <c r="H387" s="70"/>
      <c r="I387" s="71" t="s">
        <v>26</v>
      </c>
      <c r="J387" s="71" t="s">
        <v>27</v>
      </c>
      <c r="K387" s="71" t="s">
        <v>28</v>
      </c>
      <c r="M387" s="70"/>
      <c r="N387" s="70"/>
      <c r="O387" s="71" t="s">
        <v>26</v>
      </c>
      <c r="P387" s="71" t="s">
        <v>27</v>
      </c>
      <c r="Q387" s="71" t="s">
        <v>28</v>
      </c>
      <c r="S387" s="70"/>
      <c r="T387" s="70"/>
      <c r="U387" s="71" t="s">
        <v>26</v>
      </c>
      <c r="V387" s="71" t="s">
        <v>27</v>
      </c>
      <c r="W387" s="71" t="s">
        <v>28</v>
      </c>
      <c r="Y387" s="124" t="s">
        <v>685</v>
      </c>
      <c r="Z387" s="71" t="s">
        <v>26</v>
      </c>
      <c r="AA387" s="71" t="s">
        <v>27</v>
      </c>
      <c r="AB387" s="71" t="s">
        <v>28</v>
      </c>
    </row>
    <row r="388" spans="1:28" x14ac:dyDescent="0.25">
      <c r="A388" s="90" t="s">
        <v>29</v>
      </c>
      <c r="B388" s="90"/>
      <c r="C388" s="91">
        <v>14</v>
      </c>
      <c r="D388" s="91">
        <v>28</v>
      </c>
      <c r="E388" s="91">
        <v>202.71</v>
      </c>
      <c r="G388" s="90" t="s">
        <v>29</v>
      </c>
      <c r="H388" s="90"/>
      <c r="I388" s="91">
        <v>14</v>
      </c>
      <c r="J388" s="91">
        <v>4.29</v>
      </c>
      <c r="K388" s="91">
        <v>189.14</v>
      </c>
      <c r="M388" s="90" t="s">
        <v>1284</v>
      </c>
      <c r="N388" s="90"/>
      <c r="O388" s="91">
        <v>14</v>
      </c>
      <c r="P388" s="91">
        <v>17</v>
      </c>
      <c r="Q388" s="91">
        <v>192.14</v>
      </c>
      <c r="S388" s="90" t="s">
        <v>29</v>
      </c>
      <c r="T388" s="90"/>
      <c r="U388" s="91">
        <v>17</v>
      </c>
      <c r="V388" s="91">
        <v>7.71</v>
      </c>
      <c r="W388" s="91">
        <v>183.71</v>
      </c>
      <c r="Y388" s="90" t="s">
        <v>29</v>
      </c>
      <c r="Z388" s="201">
        <f>AVERAGE(O388,I388,C388,U388)</f>
        <v>14.75</v>
      </c>
      <c r="AA388" s="201">
        <f>AVERAGE(P388,J388,D388,V388)</f>
        <v>14.25</v>
      </c>
      <c r="AB388" s="225">
        <f>AVERAGE(Q388,K388,E388,W388)</f>
        <v>191.92500000000001</v>
      </c>
    </row>
    <row r="389" spans="1:28" x14ac:dyDescent="0.25">
      <c r="A389" s="90" t="s">
        <v>35</v>
      </c>
      <c r="B389" s="90"/>
      <c r="C389" s="91">
        <v>23</v>
      </c>
      <c r="D389" s="91">
        <v>35.57</v>
      </c>
      <c r="E389" s="91">
        <v>195.57</v>
      </c>
      <c r="G389" s="90" t="s">
        <v>35</v>
      </c>
      <c r="H389" s="90"/>
      <c r="I389" s="91">
        <v>23</v>
      </c>
      <c r="J389" s="91">
        <v>23.86</v>
      </c>
      <c r="K389" s="91">
        <v>195.57</v>
      </c>
      <c r="M389" s="90" t="s">
        <v>1286</v>
      </c>
      <c r="N389" s="90"/>
      <c r="O389" s="91">
        <v>26</v>
      </c>
      <c r="P389" s="91">
        <v>23.57</v>
      </c>
      <c r="Q389" s="91">
        <v>193.29</v>
      </c>
      <c r="S389" s="90" t="s">
        <v>35</v>
      </c>
      <c r="T389" s="90"/>
      <c r="U389" s="91">
        <v>23</v>
      </c>
      <c r="V389" s="91">
        <v>20.14</v>
      </c>
      <c r="W389" s="91">
        <v>190.57</v>
      </c>
      <c r="Y389" s="90" t="s">
        <v>35</v>
      </c>
      <c r="Z389" s="225">
        <f t="shared" ref="Z389:Z399" si="160">AVERAGE(O389,I389,C389,U389)</f>
        <v>23.75</v>
      </c>
      <c r="AA389" s="225">
        <f t="shared" ref="AA389:AA399" si="161">AVERAGE(P389,J389,D389,V389)</f>
        <v>25.785</v>
      </c>
      <c r="AB389" s="225">
        <f t="shared" ref="AB389:AB399" si="162">AVERAGE(Q389,K389,E389,W389)</f>
        <v>193.75</v>
      </c>
    </row>
    <row r="390" spans="1:28" x14ac:dyDescent="0.25">
      <c r="A390" s="90" t="s">
        <v>32</v>
      </c>
      <c r="B390" s="90"/>
      <c r="C390" s="91">
        <v>29</v>
      </c>
      <c r="D390" s="91">
        <v>34</v>
      </c>
      <c r="E390" s="91">
        <v>213.71</v>
      </c>
      <c r="G390" s="90" t="s">
        <v>32</v>
      </c>
      <c r="H390" s="90"/>
      <c r="I390" s="91">
        <v>28</v>
      </c>
      <c r="J390" s="91">
        <v>46.86</v>
      </c>
      <c r="K390" s="91">
        <v>233.71</v>
      </c>
      <c r="M390" s="90" t="s">
        <v>32</v>
      </c>
      <c r="N390" s="90"/>
      <c r="O390" s="91">
        <v>28</v>
      </c>
      <c r="P390" s="91">
        <v>24.57</v>
      </c>
      <c r="Q390" s="91">
        <v>233.86</v>
      </c>
      <c r="S390" s="90" t="s">
        <v>32</v>
      </c>
      <c r="T390" s="90"/>
      <c r="U390" s="91">
        <v>26</v>
      </c>
      <c r="V390" s="91">
        <v>-4.71</v>
      </c>
      <c r="W390" s="91">
        <v>203.43</v>
      </c>
      <c r="Y390" s="90" t="s">
        <v>32</v>
      </c>
      <c r="Z390" s="225">
        <f>AVERAGE(O390,I390,C390,U390)</f>
        <v>27.75</v>
      </c>
      <c r="AA390" s="225">
        <f t="shared" si="161"/>
        <v>25.180000000000003</v>
      </c>
      <c r="AB390" s="225">
        <f t="shared" si="162"/>
        <v>221.17750000000001</v>
      </c>
    </row>
    <row r="391" spans="1:28" x14ac:dyDescent="0.25">
      <c r="A391" s="90" t="s">
        <v>11</v>
      </c>
      <c r="B391" s="90"/>
      <c r="C391" s="91">
        <v>27</v>
      </c>
      <c r="D391" s="91">
        <v>21.43</v>
      </c>
      <c r="E391" s="91">
        <v>236</v>
      </c>
      <c r="G391" s="90" t="s">
        <v>11</v>
      </c>
      <c r="H391" s="90"/>
      <c r="I391" s="91">
        <v>26</v>
      </c>
      <c r="J391" s="91">
        <v>34.57</v>
      </c>
      <c r="K391" s="91">
        <v>247.14</v>
      </c>
      <c r="M391" s="90" t="s">
        <v>1285</v>
      </c>
      <c r="N391" s="90"/>
      <c r="O391" s="91">
        <v>24</v>
      </c>
      <c r="P391" s="91">
        <v>-2.29</v>
      </c>
      <c r="Q391" s="91">
        <v>220.43</v>
      </c>
      <c r="S391" s="90" t="s">
        <v>11</v>
      </c>
      <c r="T391" s="90"/>
      <c r="U391" s="91">
        <v>25</v>
      </c>
      <c r="V391" s="91">
        <v>17</v>
      </c>
      <c r="W391" s="91">
        <v>213.86</v>
      </c>
      <c r="Y391" s="90" t="s">
        <v>11</v>
      </c>
      <c r="Z391" s="225">
        <f>AVERAGE(O391,I391,C391,U391)</f>
        <v>25.5</v>
      </c>
      <c r="AA391" s="201">
        <f t="shared" si="161"/>
        <v>17.677500000000002</v>
      </c>
      <c r="AB391" s="225">
        <f t="shared" si="162"/>
        <v>229.35749999999999</v>
      </c>
    </row>
    <row r="392" spans="1:28" x14ac:dyDescent="0.25">
      <c r="A392" s="90" t="s">
        <v>48</v>
      </c>
      <c r="B392" s="90"/>
      <c r="C392" s="91">
        <v>24</v>
      </c>
      <c r="D392" s="91">
        <v>-0.28999999999999998</v>
      </c>
      <c r="E392" s="91">
        <v>140.29</v>
      </c>
      <c r="G392" s="90" t="s">
        <v>48</v>
      </c>
      <c r="H392" s="90"/>
      <c r="I392" s="91">
        <v>21</v>
      </c>
      <c r="J392" s="91">
        <v>28.71</v>
      </c>
      <c r="K392" s="91">
        <v>149.57</v>
      </c>
      <c r="M392" s="90" t="s">
        <v>48</v>
      </c>
      <c r="N392" s="90"/>
      <c r="O392" s="91">
        <v>21</v>
      </c>
      <c r="P392" s="91">
        <v>24.71</v>
      </c>
      <c r="Q392" s="91">
        <v>153.71</v>
      </c>
      <c r="S392" s="90" t="s">
        <v>48</v>
      </c>
      <c r="T392" s="90"/>
      <c r="U392" s="91">
        <v>20</v>
      </c>
      <c r="V392" s="91">
        <v>7.71</v>
      </c>
      <c r="W392" s="91">
        <v>141.57</v>
      </c>
      <c r="Y392" s="90" t="s">
        <v>48</v>
      </c>
      <c r="Z392" s="225">
        <f t="shared" si="160"/>
        <v>21.5</v>
      </c>
      <c r="AA392" s="201">
        <f t="shared" si="161"/>
        <v>15.21</v>
      </c>
      <c r="AB392" s="201">
        <f t="shared" si="162"/>
        <v>146.28499999999997</v>
      </c>
    </row>
    <row r="393" spans="1:28" x14ac:dyDescent="0.25">
      <c r="A393" s="14" t="s">
        <v>36</v>
      </c>
      <c r="B393" s="14"/>
      <c r="C393" s="130">
        <v>10</v>
      </c>
      <c r="D393" s="130">
        <v>0</v>
      </c>
      <c r="E393" s="130">
        <v>34.86</v>
      </c>
      <c r="F393" s="16"/>
      <c r="G393" s="14" t="s">
        <v>36</v>
      </c>
      <c r="H393" s="14"/>
      <c r="I393" s="130">
        <v>5</v>
      </c>
      <c r="J393" s="130">
        <v>0</v>
      </c>
      <c r="K393" s="130">
        <v>31</v>
      </c>
      <c r="L393" s="16"/>
      <c r="M393" s="14" t="s">
        <v>36</v>
      </c>
      <c r="N393" s="14"/>
      <c r="O393" s="130">
        <v>4</v>
      </c>
      <c r="P393" s="130">
        <v>-4</v>
      </c>
      <c r="Q393" s="130">
        <v>23</v>
      </c>
      <c r="R393" s="16"/>
      <c r="S393" s="14" t="s">
        <v>36</v>
      </c>
      <c r="T393" s="14"/>
      <c r="U393" s="130">
        <v>4</v>
      </c>
      <c r="V393" s="130">
        <v>0</v>
      </c>
      <c r="W393" s="130">
        <v>19</v>
      </c>
      <c r="X393" s="16"/>
      <c r="Y393" s="14" t="s">
        <v>36</v>
      </c>
      <c r="Z393" s="232">
        <f t="shared" si="160"/>
        <v>5.75</v>
      </c>
      <c r="AA393" s="232">
        <f t="shared" si="161"/>
        <v>-1</v>
      </c>
      <c r="AB393" s="232">
        <f t="shared" si="162"/>
        <v>26.965</v>
      </c>
    </row>
    <row r="394" spans="1:28" x14ac:dyDescent="0.25">
      <c r="A394" s="14" t="s">
        <v>481</v>
      </c>
      <c r="B394" s="14"/>
      <c r="C394" s="130">
        <v>19</v>
      </c>
      <c r="D394" s="130">
        <v>0</v>
      </c>
      <c r="E394" s="130">
        <v>87.86</v>
      </c>
      <c r="G394" s="14" t="s">
        <v>481</v>
      </c>
      <c r="H394" s="14"/>
      <c r="I394" s="130">
        <v>19</v>
      </c>
      <c r="J394" s="130">
        <v>0</v>
      </c>
      <c r="K394" s="130">
        <v>70</v>
      </c>
      <c r="M394" s="14" t="s">
        <v>481</v>
      </c>
      <c r="N394" s="14"/>
      <c r="O394" s="130">
        <v>15</v>
      </c>
      <c r="P394" s="130">
        <v>0</v>
      </c>
      <c r="Q394" s="130">
        <v>55</v>
      </c>
      <c r="S394" s="14" t="s">
        <v>481</v>
      </c>
      <c r="T394" s="14"/>
      <c r="U394" s="130">
        <v>13</v>
      </c>
      <c r="V394" s="130">
        <v>0</v>
      </c>
      <c r="W394" s="130">
        <v>41.43</v>
      </c>
      <c r="Y394" s="14" t="s">
        <v>690</v>
      </c>
      <c r="Z394" s="232">
        <f t="shared" si="160"/>
        <v>16.5</v>
      </c>
      <c r="AA394" s="232">
        <f t="shared" si="161"/>
        <v>0</v>
      </c>
      <c r="AB394" s="232">
        <f t="shared" si="162"/>
        <v>63.572500000000005</v>
      </c>
    </row>
    <row r="395" spans="1:28" x14ac:dyDescent="0.25">
      <c r="A395" s="27" t="s">
        <v>37</v>
      </c>
      <c r="B395" s="27"/>
      <c r="C395" s="28">
        <v>21</v>
      </c>
      <c r="D395" s="28">
        <v>33.29</v>
      </c>
      <c r="E395" s="28">
        <v>137</v>
      </c>
      <c r="G395" s="27" t="s">
        <v>37</v>
      </c>
      <c r="H395" s="27"/>
      <c r="I395" s="28">
        <v>28</v>
      </c>
      <c r="J395" s="28">
        <v>-4</v>
      </c>
      <c r="K395" s="28">
        <v>115.71</v>
      </c>
      <c r="M395" s="27" t="s">
        <v>37</v>
      </c>
      <c r="N395" s="27"/>
      <c r="O395" s="28">
        <v>19</v>
      </c>
      <c r="P395" s="28">
        <v>45.71</v>
      </c>
      <c r="Q395" s="28">
        <v>142.43</v>
      </c>
      <c r="S395" s="27" t="s">
        <v>37</v>
      </c>
      <c r="T395" s="27"/>
      <c r="U395" s="28">
        <v>19</v>
      </c>
      <c r="V395" s="28">
        <v>64.709999999999994</v>
      </c>
      <c r="W395" s="28">
        <v>189</v>
      </c>
      <c r="Y395" s="27" t="s">
        <v>37</v>
      </c>
      <c r="Z395" s="225">
        <f>AVERAGE(O395,I395,C395,U395)</f>
        <v>21.75</v>
      </c>
      <c r="AA395" s="225">
        <f t="shared" si="161"/>
        <v>34.927499999999995</v>
      </c>
      <c r="AB395" s="188">
        <f t="shared" si="162"/>
        <v>146.035</v>
      </c>
    </row>
    <row r="396" spans="1:28" x14ac:dyDescent="0.25">
      <c r="A396" s="27" t="s">
        <v>9</v>
      </c>
      <c r="B396" s="27"/>
      <c r="C396" s="28">
        <v>20</v>
      </c>
      <c r="D396" s="28">
        <v>31.14</v>
      </c>
      <c r="E396" s="28">
        <v>164</v>
      </c>
      <c r="G396" s="27" t="s">
        <v>9</v>
      </c>
      <c r="H396" s="27"/>
      <c r="I396" s="28">
        <v>17</v>
      </c>
      <c r="J396" s="28">
        <v>44.86</v>
      </c>
      <c r="K396" s="28">
        <v>192.71</v>
      </c>
      <c r="M396" s="27" t="s">
        <v>9</v>
      </c>
      <c r="N396" s="27"/>
      <c r="O396" s="28">
        <v>21</v>
      </c>
      <c r="P396" s="28">
        <v>-2.86</v>
      </c>
      <c r="Q396" s="28">
        <v>169.14</v>
      </c>
      <c r="S396" s="27" t="s">
        <v>9</v>
      </c>
      <c r="T396" s="27"/>
      <c r="U396" s="28">
        <v>17</v>
      </c>
      <c r="V396" s="28">
        <v>15.57</v>
      </c>
      <c r="W396" s="28">
        <v>167.71</v>
      </c>
      <c r="Y396" s="27" t="s">
        <v>9</v>
      </c>
      <c r="Z396" s="188">
        <f t="shared" si="160"/>
        <v>18.75</v>
      </c>
      <c r="AA396" s="225">
        <f t="shared" si="161"/>
        <v>22.177500000000002</v>
      </c>
      <c r="AB396" s="225">
        <f t="shared" si="162"/>
        <v>173.39000000000001</v>
      </c>
    </row>
    <row r="397" spans="1:28" x14ac:dyDescent="0.25">
      <c r="A397" s="27" t="s">
        <v>12</v>
      </c>
      <c r="B397" s="27"/>
      <c r="C397" s="28">
        <v>16</v>
      </c>
      <c r="D397" s="28">
        <v>32.71</v>
      </c>
      <c r="E397" s="28">
        <v>160.57</v>
      </c>
      <c r="G397" s="27" t="s">
        <v>12</v>
      </c>
      <c r="H397" s="27"/>
      <c r="I397" s="28">
        <v>17</v>
      </c>
      <c r="J397" s="28">
        <v>33.57</v>
      </c>
      <c r="K397" s="28">
        <v>178.14</v>
      </c>
      <c r="M397" s="27" t="s">
        <v>12</v>
      </c>
      <c r="N397" s="27"/>
      <c r="O397" s="28">
        <v>20</v>
      </c>
      <c r="P397" s="28">
        <v>29.29</v>
      </c>
      <c r="Q397" s="28">
        <v>187.57</v>
      </c>
      <c r="S397" s="27" t="s">
        <v>12</v>
      </c>
      <c r="T397" s="27"/>
      <c r="U397" s="28">
        <v>20</v>
      </c>
      <c r="V397" s="28">
        <v>13.86</v>
      </c>
      <c r="W397" s="28">
        <v>180.57</v>
      </c>
      <c r="Y397" s="27" t="s">
        <v>12</v>
      </c>
      <c r="Z397" s="188">
        <f t="shared" si="160"/>
        <v>18.25</v>
      </c>
      <c r="AA397" s="225">
        <f t="shared" si="161"/>
        <v>27.357499999999998</v>
      </c>
      <c r="AB397" s="225">
        <f t="shared" si="162"/>
        <v>176.71249999999998</v>
      </c>
    </row>
    <row r="398" spans="1:28" x14ac:dyDescent="0.25">
      <c r="A398" s="27" t="s">
        <v>10</v>
      </c>
      <c r="B398" s="27"/>
      <c r="C398" s="28">
        <v>25</v>
      </c>
      <c r="D398" s="28">
        <v>25</v>
      </c>
      <c r="E398" s="28">
        <v>256.86</v>
      </c>
      <c r="G398" s="27" t="s">
        <v>10</v>
      </c>
      <c r="H398" s="27"/>
      <c r="I398" s="28">
        <v>31</v>
      </c>
      <c r="J398" s="28">
        <v>43.57</v>
      </c>
      <c r="K398" s="28">
        <v>274.29000000000002</v>
      </c>
      <c r="M398" s="27" t="s">
        <v>10</v>
      </c>
      <c r="N398" s="27"/>
      <c r="O398" s="28">
        <v>33</v>
      </c>
      <c r="P398" s="28">
        <v>19.57</v>
      </c>
      <c r="Q398" s="28">
        <v>262.29000000000002</v>
      </c>
      <c r="S398" s="27" t="s">
        <v>10</v>
      </c>
      <c r="T398" s="27"/>
      <c r="U398" s="28">
        <v>32</v>
      </c>
      <c r="V398" s="28">
        <v>35.14</v>
      </c>
      <c r="W398" s="28">
        <v>265.86</v>
      </c>
      <c r="Y398" s="27" t="s">
        <v>10</v>
      </c>
      <c r="Z398" s="225">
        <f t="shared" si="160"/>
        <v>30.25</v>
      </c>
      <c r="AA398" s="225">
        <f t="shared" si="161"/>
        <v>30.82</v>
      </c>
      <c r="AB398" s="225">
        <f t="shared" si="162"/>
        <v>264.82500000000005</v>
      </c>
    </row>
    <row r="399" spans="1:28" x14ac:dyDescent="0.25">
      <c r="A399" s="27" t="s">
        <v>672</v>
      </c>
      <c r="B399" s="27"/>
      <c r="C399" s="28">
        <v>22</v>
      </c>
      <c r="D399" s="28">
        <v>26.57</v>
      </c>
      <c r="E399" s="28">
        <v>135.13999999999999</v>
      </c>
      <c r="G399" s="27" t="s">
        <v>672</v>
      </c>
      <c r="H399" s="27"/>
      <c r="I399" s="28">
        <v>22</v>
      </c>
      <c r="J399" s="28">
        <v>38.43</v>
      </c>
      <c r="K399" s="28">
        <v>152.71</v>
      </c>
      <c r="M399" s="27" t="s">
        <v>672</v>
      </c>
      <c r="N399" s="27"/>
      <c r="O399" s="28">
        <v>19</v>
      </c>
      <c r="P399" s="28">
        <v>52.29</v>
      </c>
      <c r="Q399" s="28">
        <v>187.43</v>
      </c>
      <c r="S399" s="27" t="s">
        <v>672</v>
      </c>
      <c r="T399" s="27"/>
      <c r="U399" s="28">
        <v>20</v>
      </c>
      <c r="V399" s="28">
        <v>35.14</v>
      </c>
      <c r="W399" s="28">
        <v>203.86</v>
      </c>
      <c r="Y399" s="27" t="s">
        <v>672</v>
      </c>
      <c r="Z399" s="225">
        <f t="shared" si="160"/>
        <v>20.75</v>
      </c>
      <c r="AA399" s="225">
        <f t="shared" si="161"/>
        <v>38.107500000000002</v>
      </c>
      <c r="AB399" s="188">
        <f t="shared" si="162"/>
        <v>169.785</v>
      </c>
    </row>
    <row r="400" spans="1:28" x14ac:dyDescent="0.25">
      <c r="A400" s="2" t="s">
        <v>84</v>
      </c>
      <c r="B400" s="2"/>
      <c r="C400" s="28">
        <v>3</v>
      </c>
      <c r="D400" s="28">
        <v>48.71</v>
      </c>
      <c r="E400" s="28">
        <v>87.29</v>
      </c>
      <c r="G400" s="2" t="s">
        <v>84</v>
      </c>
      <c r="H400" s="2"/>
      <c r="I400" s="28">
        <v>3</v>
      </c>
      <c r="J400" s="28">
        <v>0</v>
      </c>
      <c r="K400" s="28">
        <v>84.29</v>
      </c>
      <c r="M400" s="2" t="s">
        <v>84</v>
      </c>
      <c r="N400" s="14"/>
      <c r="O400" s="130">
        <v>5</v>
      </c>
      <c r="P400" s="130">
        <v>4</v>
      </c>
      <c r="Q400" s="130">
        <v>84</v>
      </c>
      <c r="S400" s="2" t="s">
        <v>84</v>
      </c>
      <c r="T400" s="2"/>
      <c r="U400" s="130">
        <v>6</v>
      </c>
      <c r="V400" s="130">
        <v>23.86</v>
      </c>
      <c r="W400" s="130">
        <v>102.43</v>
      </c>
      <c r="Y400" s="2" t="s">
        <v>84</v>
      </c>
      <c r="Z400" s="232">
        <f>AVERAGE(O400,I400,C400,U400)</f>
        <v>4.25</v>
      </c>
      <c r="AA400" s="14">
        <f>AVERAGE(P400,J400,D400,V400)</f>
        <v>19.142499999999998</v>
      </c>
      <c r="AB400" s="232">
        <f>AVERAGE(Q400,K400,E400,W400)</f>
        <v>89.502500000000012</v>
      </c>
    </row>
    <row r="401" spans="1:34" x14ac:dyDescent="0.25">
      <c r="A401" s="72" t="s">
        <v>39</v>
      </c>
      <c r="B401" s="72"/>
      <c r="C401" s="8">
        <f>SUM(C386:C400)</f>
        <v>253</v>
      </c>
      <c r="D401" s="8">
        <f>SUM(D388:D400)</f>
        <v>316.13</v>
      </c>
      <c r="E401" s="8">
        <f>SUM(E386:E400)</f>
        <v>2051.8599999999997</v>
      </c>
      <c r="G401" s="72" t="s">
        <v>39</v>
      </c>
      <c r="H401" s="72"/>
      <c r="I401" s="8">
        <f>SUM(I386:I400)</f>
        <v>254</v>
      </c>
      <c r="J401" s="8">
        <f>SUM(J386:J400)</f>
        <v>294.71999999999997</v>
      </c>
      <c r="K401" s="8">
        <f>SUM(K386:K400)</f>
        <v>2113.98</v>
      </c>
      <c r="M401" s="72" t="s">
        <v>39</v>
      </c>
      <c r="N401" s="72"/>
      <c r="O401" s="8">
        <f>SUM(O386:O400)</f>
        <v>249</v>
      </c>
      <c r="P401" s="8">
        <f>SUM(P386:P400)</f>
        <v>231.56</v>
      </c>
      <c r="Q401" s="8">
        <f>SUM(Q386:Q400)</f>
        <v>2104.29</v>
      </c>
      <c r="S401" s="72" t="s">
        <v>39</v>
      </c>
      <c r="T401" s="72"/>
      <c r="U401" s="8">
        <f>SUM(U386:U400)</f>
        <v>242</v>
      </c>
      <c r="V401" s="8">
        <f>SUM(V386:V400)</f>
        <v>236.13</v>
      </c>
      <c r="W401" s="8">
        <f>SUM(W386:W400)</f>
        <v>2103</v>
      </c>
      <c r="Y401" s="216" t="s">
        <v>696</v>
      </c>
      <c r="Z401" s="203">
        <f>AVERAGE(Z388:Z399)</f>
        <v>20.4375</v>
      </c>
      <c r="AA401" s="203">
        <f>AVERAGE(AA388:AA399)</f>
        <v>20.874375000000001</v>
      </c>
      <c r="AB401" s="203">
        <f>AVERAGE(AB388:AB399)</f>
        <v>166.98166666666668</v>
      </c>
    </row>
    <row r="402" spans="1:34" x14ac:dyDescent="0.25">
      <c r="A402" s="72"/>
      <c r="B402" s="72"/>
      <c r="C402" s="7"/>
      <c r="D402" s="7"/>
      <c r="E402" s="7"/>
      <c r="G402" s="72"/>
      <c r="H402" s="72"/>
      <c r="I402" s="7"/>
      <c r="J402" s="7"/>
      <c r="K402" s="7"/>
      <c r="M402" s="72"/>
      <c r="N402" s="72"/>
      <c r="O402" s="7"/>
      <c r="P402" s="7"/>
      <c r="Q402" s="7"/>
      <c r="S402" s="72"/>
      <c r="T402" s="72"/>
      <c r="U402" s="7"/>
      <c r="V402" s="7"/>
      <c r="W402" s="7"/>
    </row>
    <row r="403" spans="1:34" x14ac:dyDescent="0.25">
      <c r="A403" s="72"/>
      <c r="B403" s="6" t="s">
        <v>477</v>
      </c>
      <c r="C403" s="131">
        <f>SUM(C388:C392)</f>
        <v>117</v>
      </c>
      <c r="D403" s="93">
        <f>SUM(D388:D395)</f>
        <v>152</v>
      </c>
      <c r="E403" s="93">
        <f>SUM(E388:E392)</f>
        <v>988.28</v>
      </c>
      <c r="G403" s="72"/>
      <c r="H403" s="6" t="s">
        <v>477</v>
      </c>
      <c r="I403" s="131">
        <f>SUM(I388:I392)</f>
        <v>112</v>
      </c>
      <c r="J403" s="93">
        <f>SUM(J388:J392)</f>
        <v>138.29</v>
      </c>
      <c r="K403" s="93">
        <f>SUM(K388:K392)</f>
        <v>1015.1299999999999</v>
      </c>
      <c r="M403" s="72"/>
      <c r="N403" s="6" t="s">
        <v>477</v>
      </c>
      <c r="O403" s="131">
        <f>SUM(O388:O392)</f>
        <v>113</v>
      </c>
      <c r="P403" s="131">
        <f>SUM(P388:P392)</f>
        <v>87.56</v>
      </c>
      <c r="Q403" s="131">
        <f>SUM(Q388:Q392)</f>
        <v>993.43000000000006</v>
      </c>
      <c r="S403" s="72"/>
      <c r="T403" s="6" t="s">
        <v>477</v>
      </c>
      <c r="U403" s="131">
        <f>SUM(U388:U392)</f>
        <v>111</v>
      </c>
      <c r="V403" s="131">
        <f>SUM(V388:V392)</f>
        <v>47.85</v>
      </c>
      <c r="W403" s="131">
        <f>SUM(W388:W392)</f>
        <v>933.1400000000001</v>
      </c>
    </row>
    <row r="404" spans="1:34" x14ac:dyDescent="0.25">
      <c r="A404" s="68"/>
      <c r="B404" s="6" t="s">
        <v>479</v>
      </c>
      <c r="C404" s="93">
        <f>SUM(C393:C399)</f>
        <v>133</v>
      </c>
      <c r="D404" s="95">
        <f t="shared" ref="D404:E404" si="163">SUM(D393:D399)</f>
        <v>148.71</v>
      </c>
      <c r="E404" s="95">
        <f t="shared" si="163"/>
        <v>976.29</v>
      </c>
      <c r="G404" s="68"/>
      <c r="H404" s="6" t="s">
        <v>479</v>
      </c>
      <c r="I404" s="93">
        <f>SUM(I393:I399)</f>
        <v>139</v>
      </c>
      <c r="J404" s="93">
        <f>SUM(J393:J399)</f>
        <v>156.43</v>
      </c>
      <c r="K404" s="95">
        <f>SUM(K393:K399)</f>
        <v>1014.56</v>
      </c>
      <c r="M404" s="68"/>
      <c r="N404" s="6" t="s">
        <v>479</v>
      </c>
      <c r="O404" s="93">
        <f>SUM(O393:O399)</f>
        <v>131</v>
      </c>
      <c r="P404" s="93">
        <f t="shared" ref="P404:Q404" si="164">SUM(P393:P399)</f>
        <v>140</v>
      </c>
      <c r="Q404" s="93">
        <f t="shared" si="164"/>
        <v>1026.8600000000001</v>
      </c>
      <c r="S404" s="68"/>
      <c r="T404" s="6" t="s">
        <v>479</v>
      </c>
      <c r="U404" s="93">
        <f>SUM(U393:U399)</f>
        <v>125</v>
      </c>
      <c r="V404" s="93">
        <f t="shared" ref="V404:W404" si="165">SUM(V393:V399)</f>
        <v>164.42000000000002</v>
      </c>
      <c r="W404" s="93">
        <f t="shared" si="165"/>
        <v>1067.43</v>
      </c>
    </row>
    <row r="405" spans="1:34" ht="30" x14ac:dyDescent="0.25">
      <c r="A405" s="68" t="s">
        <v>1355</v>
      </c>
      <c r="B405" s="6"/>
      <c r="C405" s="66">
        <v>23</v>
      </c>
      <c r="D405" s="66">
        <v>20</v>
      </c>
      <c r="E405" s="224">
        <f>SUM(D401/(D405+C405))</f>
        <v>7.3518604651162791</v>
      </c>
      <c r="G405" s="68" t="s">
        <v>50</v>
      </c>
      <c r="H405" s="6"/>
      <c r="I405" s="66">
        <v>8</v>
      </c>
      <c r="J405" s="66">
        <v>33</v>
      </c>
      <c r="K405" s="224">
        <f>SUM(J401/J405)</f>
        <v>8.9309090909090898</v>
      </c>
      <c r="M405" s="68" t="s">
        <v>50</v>
      </c>
      <c r="N405" s="6"/>
      <c r="O405" s="66">
        <v>6</v>
      </c>
      <c r="P405" s="66">
        <v>41</v>
      </c>
      <c r="Q405" s="224">
        <f>SUM(P401/P405)</f>
        <v>5.6478048780487802</v>
      </c>
      <c r="S405" s="68" t="s">
        <v>50</v>
      </c>
      <c r="T405" s="6"/>
      <c r="U405" s="66">
        <v>10</v>
      </c>
      <c r="V405" s="66">
        <v>25</v>
      </c>
      <c r="W405" s="224">
        <f>SUM(V401/V405)</f>
        <v>9.4451999999999998</v>
      </c>
    </row>
    <row r="406" spans="1:34" x14ac:dyDescent="0.25">
      <c r="A406" s="72" t="s">
        <v>41</v>
      </c>
      <c r="B406" s="6"/>
      <c r="C406" s="8" t="s">
        <v>1364</v>
      </c>
      <c r="D406" s="8" t="s">
        <v>1365</v>
      </c>
      <c r="E406" s="8"/>
      <c r="G406" s="72" t="s">
        <v>41</v>
      </c>
      <c r="H406" s="6"/>
      <c r="I406" s="8" t="s">
        <v>1364</v>
      </c>
      <c r="J406" s="8" t="s">
        <v>1365</v>
      </c>
      <c r="K406" s="8"/>
      <c r="M406" s="72" t="s">
        <v>41</v>
      </c>
      <c r="N406" s="6"/>
      <c r="O406" s="8" t="s">
        <v>1364</v>
      </c>
      <c r="P406" s="8" t="s">
        <v>1365</v>
      </c>
      <c r="Q406" s="8"/>
      <c r="S406" s="72" t="s">
        <v>41</v>
      </c>
      <c r="T406" s="6"/>
      <c r="U406" s="8" t="s">
        <v>1364</v>
      </c>
      <c r="V406" s="8" t="s">
        <v>1365</v>
      </c>
      <c r="W406" s="8"/>
    </row>
    <row r="407" spans="1:34" x14ac:dyDescent="0.25">
      <c r="C407" s="12" t="e">
        <f>#REF!-#REF!</f>
        <v>#REF!</v>
      </c>
      <c r="D407" s="12" t="e">
        <f>#REF!-#REF!</f>
        <v>#REF!</v>
      </c>
      <c r="E407" s="12" t="e">
        <f>#REF!-#REF!</f>
        <v>#REF!</v>
      </c>
      <c r="I407" s="12" t="e">
        <f>#REF!-#REF!</f>
        <v>#REF!</v>
      </c>
      <c r="J407" s="12" t="e">
        <f>#REF!-#REF!</f>
        <v>#REF!</v>
      </c>
      <c r="K407" s="12" t="e">
        <f>#REF!-#REF!</f>
        <v>#REF!</v>
      </c>
      <c r="O407" s="12" t="e">
        <f>#REF!-#REF!</f>
        <v>#REF!</v>
      </c>
      <c r="P407" s="12" t="e">
        <f>#REF!-#REF!</f>
        <v>#REF!</v>
      </c>
      <c r="Q407" s="12" t="e">
        <f>#REF!-#REF!</f>
        <v>#REF!</v>
      </c>
      <c r="U407" s="12" t="e">
        <f>#REF!-#REF!</f>
        <v>#REF!</v>
      </c>
      <c r="V407" s="12" t="e">
        <f>#REF!-#REF!</f>
        <v>#REF!</v>
      </c>
      <c r="W407" s="12" t="e">
        <f>#REF!-#REF!</f>
        <v>#REF!</v>
      </c>
    </row>
    <row r="409" spans="1:34" ht="18.75" x14ac:dyDescent="0.3">
      <c r="A409" s="69" t="s">
        <v>1353</v>
      </c>
      <c r="B409" s="4"/>
      <c r="C409" s="10"/>
      <c r="D409" s="10"/>
      <c r="E409" s="10"/>
      <c r="G409" s="69" t="s">
        <v>1354</v>
      </c>
      <c r="H409" s="4"/>
      <c r="I409" s="10"/>
      <c r="J409" s="10"/>
      <c r="K409" s="10"/>
      <c r="M409" s="69" t="s">
        <v>1356</v>
      </c>
      <c r="N409" s="4"/>
      <c r="O409" s="10"/>
      <c r="P409" s="10"/>
      <c r="Q409" s="10"/>
      <c r="S409" s="69" t="s">
        <v>1357</v>
      </c>
      <c r="T409" s="4"/>
      <c r="U409" s="10"/>
      <c r="V409" s="10"/>
      <c r="W409" s="10"/>
      <c r="Y409" s="69" t="s">
        <v>1358</v>
      </c>
      <c r="Z409" s="4"/>
      <c r="AA409" s="10"/>
      <c r="AB409" s="10"/>
      <c r="AC409" s="10"/>
      <c r="AE409" s="6" t="s">
        <v>1401</v>
      </c>
    </row>
    <row r="410" spans="1:34" ht="45" x14ac:dyDescent="0.25">
      <c r="A410" s="70"/>
      <c r="B410" s="70"/>
      <c r="C410" s="71" t="s">
        <v>26</v>
      </c>
      <c r="D410" s="71" t="s">
        <v>27</v>
      </c>
      <c r="E410" s="71" t="s">
        <v>28</v>
      </c>
      <c r="G410" s="70"/>
      <c r="H410" s="70"/>
      <c r="I410" s="71" t="s">
        <v>26</v>
      </c>
      <c r="J410" s="71" t="s">
        <v>27</v>
      </c>
      <c r="K410" s="71" t="s">
        <v>28</v>
      </c>
      <c r="M410" s="70"/>
      <c r="N410" s="70"/>
      <c r="O410" s="71" t="s">
        <v>26</v>
      </c>
      <c r="P410" s="71" t="s">
        <v>27</v>
      </c>
      <c r="Q410" s="71" t="s">
        <v>28</v>
      </c>
      <c r="S410" s="70"/>
      <c r="T410" s="70"/>
      <c r="U410" s="71" t="s">
        <v>26</v>
      </c>
      <c r="V410" s="71" t="s">
        <v>27</v>
      </c>
      <c r="W410" s="71" t="s">
        <v>28</v>
      </c>
      <c r="Y410" s="70"/>
      <c r="Z410" s="70"/>
      <c r="AA410" s="71" t="s">
        <v>26</v>
      </c>
      <c r="AB410" s="71" t="s">
        <v>27</v>
      </c>
      <c r="AC410" s="71" t="s">
        <v>28</v>
      </c>
      <c r="AE410" s="71" t="s">
        <v>685</v>
      </c>
      <c r="AF410" s="71" t="s">
        <v>26</v>
      </c>
      <c r="AG410" s="71" t="s">
        <v>27</v>
      </c>
      <c r="AH410" s="71" t="s">
        <v>28</v>
      </c>
    </row>
    <row r="411" spans="1:34" x14ac:dyDescent="0.25">
      <c r="A411" s="90" t="s">
        <v>29</v>
      </c>
      <c r="B411" s="90"/>
      <c r="C411" s="91">
        <v>22</v>
      </c>
      <c r="D411" s="91">
        <v>15.14</v>
      </c>
      <c r="E411" s="91">
        <v>178</v>
      </c>
      <c r="G411" s="90" t="s">
        <v>29</v>
      </c>
      <c r="H411" s="90"/>
      <c r="I411" s="91">
        <v>19</v>
      </c>
      <c r="J411" s="91">
        <v>1.43</v>
      </c>
      <c r="K411" s="91">
        <v>159.57</v>
      </c>
      <c r="M411" s="90" t="s">
        <v>1284</v>
      </c>
      <c r="N411" s="90"/>
      <c r="O411" s="91">
        <v>21</v>
      </c>
      <c r="P411" s="91">
        <v>9.86</v>
      </c>
      <c r="Q411" s="91">
        <v>148</v>
      </c>
      <c r="S411" s="90" t="s">
        <v>29</v>
      </c>
      <c r="T411" s="90"/>
      <c r="U411" s="91">
        <v>22</v>
      </c>
      <c r="V411" s="91">
        <v>6</v>
      </c>
      <c r="W411" s="91">
        <v>132.71</v>
      </c>
      <c r="Y411" s="90" t="s">
        <v>29</v>
      </c>
      <c r="Z411" s="90"/>
      <c r="AA411" s="91">
        <v>19</v>
      </c>
      <c r="AB411" s="91">
        <v>19.43</v>
      </c>
      <c r="AC411" s="91">
        <v>132</v>
      </c>
      <c r="AE411" s="90" t="s">
        <v>29</v>
      </c>
      <c r="AF411" s="225">
        <f>AVERAGE(O411,I411,C411,U411,AA411)</f>
        <v>20.6</v>
      </c>
      <c r="AG411" s="201">
        <f>AVERAGE(P411,J411,D411,V411,AB411)</f>
        <v>10.372</v>
      </c>
      <c r="AH411" s="225">
        <f t="shared" ref="AH411:AH422" si="166">AVERAGE(Q411,K411,E411,W411,AC411)</f>
        <v>150.05599999999998</v>
      </c>
    </row>
    <row r="412" spans="1:34" x14ac:dyDescent="0.25">
      <c r="A412" s="90" t="s">
        <v>35</v>
      </c>
      <c r="B412" s="90"/>
      <c r="C412" s="91">
        <v>22</v>
      </c>
      <c r="D412" s="91">
        <v>0.86</v>
      </c>
      <c r="E412" s="91">
        <v>169.71</v>
      </c>
      <c r="G412" s="90" t="s">
        <v>35</v>
      </c>
      <c r="H412" s="90"/>
      <c r="I412" s="91">
        <v>22</v>
      </c>
      <c r="J412" s="91">
        <v>14</v>
      </c>
      <c r="K412" s="91">
        <v>162.29</v>
      </c>
      <c r="M412" s="90" t="s">
        <v>1286</v>
      </c>
      <c r="N412" s="90"/>
      <c r="O412" s="91">
        <v>20</v>
      </c>
      <c r="P412" s="91">
        <v>6</v>
      </c>
      <c r="Q412" s="91">
        <v>149.13999999999999</v>
      </c>
      <c r="S412" s="90" t="s">
        <v>35</v>
      </c>
      <c r="T412" s="90"/>
      <c r="U412" s="91">
        <v>18</v>
      </c>
      <c r="V412" s="91">
        <v>22.71</v>
      </c>
      <c r="W412" s="91">
        <v>153.13999999999999</v>
      </c>
      <c r="Y412" s="90" t="s">
        <v>35</v>
      </c>
      <c r="Z412" s="90"/>
      <c r="AA412" s="91">
        <v>19</v>
      </c>
      <c r="AB412" s="91">
        <v>43.43</v>
      </c>
      <c r="AC412" s="91">
        <v>178.14</v>
      </c>
      <c r="AE412" s="90" t="s">
        <v>35</v>
      </c>
      <c r="AF412" s="225">
        <f t="shared" ref="AF412:AF414" si="167">AVERAGE(O412,I412,C412,U412,AA412)</f>
        <v>20.2</v>
      </c>
      <c r="AG412" s="225">
        <f t="shared" ref="AG412:AG416" si="168">AVERAGE(P412,J412,D412,V412,AB412)</f>
        <v>17.399999999999999</v>
      </c>
      <c r="AH412" s="225">
        <f t="shared" si="166"/>
        <v>162.48399999999998</v>
      </c>
    </row>
    <row r="413" spans="1:34" x14ac:dyDescent="0.25">
      <c r="A413" s="90" t="s">
        <v>32</v>
      </c>
      <c r="B413" s="90"/>
      <c r="C413" s="91">
        <v>28</v>
      </c>
      <c r="D413" s="91">
        <v>9.86</v>
      </c>
      <c r="E413" s="91">
        <v>187.29</v>
      </c>
      <c r="G413" s="90" t="s">
        <v>32</v>
      </c>
      <c r="H413" s="90"/>
      <c r="I413" s="91">
        <v>27</v>
      </c>
      <c r="J413" s="91">
        <v>38.71</v>
      </c>
      <c r="K413" s="91">
        <v>200.29</v>
      </c>
      <c r="M413" s="90" t="s">
        <v>32</v>
      </c>
      <c r="N413" s="90"/>
      <c r="O413" s="91">
        <v>26</v>
      </c>
      <c r="P413" s="91">
        <v>6.43</v>
      </c>
      <c r="Q413" s="91">
        <v>181.43</v>
      </c>
      <c r="S413" s="90" t="s">
        <v>32</v>
      </c>
      <c r="T413" s="90"/>
      <c r="U413" s="91">
        <v>25</v>
      </c>
      <c r="V413" s="91">
        <v>17</v>
      </c>
      <c r="W413" s="91">
        <v>172.57</v>
      </c>
      <c r="Y413" s="90" t="s">
        <v>32</v>
      </c>
      <c r="Z413" s="90"/>
      <c r="AA413" s="91">
        <v>26</v>
      </c>
      <c r="AB413" s="91">
        <v>27</v>
      </c>
      <c r="AC413" s="91">
        <v>174.14</v>
      </c>
      <c r="AE413" s="90" t="s">
        <v>32</v>
      </c>
      <c r="AF413" s="225">
        <f t="shared" si="167"/>
        <v>26.4</v>
      </c>
      <c r="AG413" s="225">
        <f t="shared" si="168"/>
        <v>19.8</v>
      </c>
      <c r="AH413" s="225">
        <f t="shared" si="166"/>
        <v>183.14399999999998</v>
      </c>
    </row>
    <row r="414" spans="1:34" x14ac:dyDescent="0.25">
      <c r="A414" s="90" t="s">
        <v>11</v>
      </c>
      <c r="B414" s="90"/>
      <c r="C414" s="91">
        <v>25</v>
      </c>
      <c r="D414" s="91">
        <v>12.14</v>
      </c>
      <c r="E414" s="91">
        <v>201.57</v>
      </c>
      <c r="G414" s="90" t="s">
        <v>11</v>
      </c>
      <c r="H414" s="90"/>
      <c r="I414" s="91">
        <v>25</v>
      </c>
      <c r="J414" s="91">
        <v>21.57</v>
      </c>
      <c r="K414" s="91">
        <v>198.57</v>
      </c>
      <c r="M414" s="14" t="s">
        <v>1285</v>
      </c>
      <c r="N414" s="14"/>
      <c r="O414" s="130">
        <v>26</v>
      </c>
      <c r="P414" s="130">
        <v>8.14</v>
      </c>
      <c r="Q414" s="130">
        <v>182.71</v>
      </c>
      <c r="S414" s="14" t="s">
        <v>11</v>
      </c>
      <c r="T414" s="14"/>
      <c r="U414" s="130">
        <v>23</v>
      </c>
      <c r="V414" s="130">
        <v>0</v>
      </c>
      <c r="W414" s="130">
        <v>159.43</v>
      </c>
      <c r="Y414" s="14" t="s">
        <v>11</v>
      </c>
      <c r="Z414" s="14"/>
      <c r="AA414" s="130">
        <v>18</v>
      </c>
      <c r="AB414" s="130">
        <v>0</v>
      </c>
      <c r="AC414" s="130">
        <v>141.71</v>
      </c>
      <c r="AE414" s="14" t="s">
        <v>11</v>
      </c>
      <c r="AF414" s="232">
        <f t="shared" si="167"/>
        <v>23.4</v>
      </c>
      <c r="AG414" s="232">
        <f t="shared" si="168"/>
        <v>8.370000000000001</v>
      </c>
      <c r="AH414" s="232">
        <f t="shared" si="166"/>
        <v>176.798</v>
      </c>
    </row>
    <row r="415" spans="1:34" x14ac:dyDescent="0.25">
      <c r="A415" s="90" t="s">
        <v>48</v>
      </c>
      <c r="B415" s="90"/>
      <c r="C415" s="91">
        <v>21</v>
      </c>
      <c r="D415" s="91">
        <v>8.7100000000000009</v>
      </c>
      <c r="E415" s="91">
        <v>129.86000000000001</v>
      </c>
      <c r="G415" s="90" t="s">
        <v>48</v>
      </c>
      <c r="H415" s="90"/>
      <c r="I415" s="91">
        <v>19</v>
      </c>
      <c r="J415" s="91">
        <v>25.71</v>
      </c>
      <c r="K415" s="91">
        <v>137.43</v>
      </c>
      <c r="M415" s="90" t="s">
        <v>48</v>
      </c>
      <c r="N415" s="90"/>
      <c r="O415" s="91">
        <v>20</v>
      </c>
      <c r="P415" s="91">
        <v>7.14</v>
      </c>
      <c r="Q415" s="91">
        <v>125</v>
      </c>
      <c r="S415" s="90" t="s">
        <v>48</v>
      </c>
      <c r="T415" s="90"/>
      <c r="U415" s="91">
        <v>19</v>
      </c>
      <c r="V415" s="91">
        <v>21.14</v>
      </c>
      <c r="W415" s="91">
        <v>127.14</v>
      </c>
      <c r="Y415" s="90" t="s">
        <v>48</v>
      </c>
      <c r="Z415" s="90"/>
      <c r="AA415" s="91">
        <v>20</v>
      </c>
      <c r="AB415" s="91">
        <v>47.43</v>
      </c>
      <c r="AC415" s="91">
        <v>155.29</v>
      </c>
      <c r="AE415" s="90" t="s">
        <v>48</v>
      </c>
      <c r="AF415" s="225">
        <f>AVERAGE(O415,I415,C415,U415,AA415)</f>
        <v>19.8</v>
      </c>
      <c r="AG415" s="225">
        <f t="shared" si="168"/>
        <v>22.026</v>
      </c>
      <c r="AH415" s="225">
        <f t="shared" si="166"/>
        <v>134.94400000000002</v>
      </c>
    </row>
    <row r="416" spans="1:34" x14ac:dyDescent="0.25">
      <c r="A416" s="14" t="s">
        <v>36</v>
      </c>
      <c r="B416" s="14"/>
      <c r="C416" s="130">
        <v>4</v>
      </c>
      <c r="D416" s="130">
        <v>0</v>
      </c>
      <c r="E416" s="130">
        <v>14.86</v>
      </c>
      <c r="F416" s="16"/>
      <c r="G416" s="14" t="s">
        <v>36</v>
      </c>
      <c r="H416" s="14"/>
      <c r="I416" s="130">
        <v>3</v>
      </c>
      <c r="J416" s="130">
        <v>0</v>
      </c>
      <c r="K416" s="130">
        <v>11.86</v>
      </c>
      <c r="L416" s="16"/>
      <c r="M416" s="14" t="s">
        <v>36</v>
      </c>
      <c r="N416" s="14"/>
      <c r="O416" s="130">
        <v>3</v>
      </c>
      <c r="P416" s="130">
        <v>0</v>
      </c>
      <c r="Q416" s="130">
        <v>8.86</v>
      </c>
      <c r="R416" s="16"/>
      <c r="S416" s="14" t="s">
        <v>36</v>
      </c>
      <c r="T416" s="14"/>
      <c r="U416" s="130">
        <v>3</v>
      </c>
      <c r="V416" s="130">
        <v>0</v>
      </c>
      <c r="W416" s="130">
        <v>5.86</v>
      </c>
      <c r="X416" s="16"/>
      <c r="Y416" s="14" t="s">
        <v>36</v>
      </c>
      <c r="Z416" s="14"/>
      <c r="AA416" s="130">
        <v>3</v>
      </c>
      <c r="AB416" s="130">
        <v>0</v>
      </c>
      <c r="AC416" s="130">
        <v>2.57</v>
      </c>
      <c r="AD416" s="16"/>
      <c r="AE416" s="14" t="s">
        <v>36</v>
      </c>
      <c r="AF416" s="232">
        <f>AVERAGE(O416,I416,C416,U416,AA416)</f>
        <v>3.2</v>
      </c>
      <c r="AG416" s="232">
        <f t="shared" si="168"/>
        <v>0</v>
      </c>
      <c r="AH416" s="232">
        <f t="shared" si="166"/>
        <v>8.8019999999999996</v>
      </c>
    </row>
    <row r="417" spans="1:34" x14ac:dyDescent="0.25">
      <c r="A417" s="14" t="s">
        <v>481</v>
      </c>
      <c r="B417" s="14"/>
      <c r="C417" s="130">
        <v>10</v>
      </c>
      <c r="D417" s="130">
        <v>0</v>
      </c>
      <c r="E417" s="130">
        <v>31.71</v>
      </c>
      <c r="G417" s="14" t="s">
        <v>481</v>
      </c>
      <c r="H417" s="14"/>
      <c r="I417" s="130">
        <v>7</v>
      </c>
      <c r="J417" s="130">
        <v>0</v>
      </c>
      <c r="K417" s="130">
        <v>24.86</v>
      </c>
      <c r="M417" s="14" t="s">
        <v>481</v>
      </c>
      <c r="N417" s="14"/>
      <c r="O417" s="130">
        <v>5</v>
      </c>
      <c r="P417" s="130">
        <v>0</v>
      </c>
      <c r="Q417" s="130">
        <v>20.71</v>
      </c>
      <c r="S417" s="14" t="s">
        <v>481</v>
      </c>
      <c r="T417" s="14"/>
      <c r="U417" s="130">
        <v>4</v>
      </c>
      <c r="V417" s="130">
        <v>0</v>
      </c>
      <c r="W417" s="130">
        <v>16.71</v>
      </c>
      <c r="Y417" s="14" t="s">
        <v>481</v>
      </c>
      <c r="Z417" s="14"/>
      <c r="AA417" s="130">
        <v>4</v>
      </c>
      <c r="AB417" s="130">
        <v>0</v>
      </c>
      <c r="AC417" s="130">
        <v>12.71</v>
      </c>
      <c r="AE417" s="14" t="s">
        <v>690</v>
      </c>
      <c r="AF417" s="232">
        <f t="shared" ref="AF417:AF422" si="169">AVERAGE(O417,I417,C417,U417,AA417)</f>
        <v>6</v>
      </c>
      <c r="AG417" s="232">
        <f>AVERAGE(P417,J417,D417,V417,AB417)</f>
        <v>0</v>
      </c>
      <c r="AH417" s="232">
        <f t="shared" si="166"/>
        <v>21.340000000000003</v>
      </c>
    </row>
    <row r="418" spans="1:34" x14ac:dyDescent="0.25">
      <c r="A418" s="27" t="s">
        <v>37</v>
      </c>
      <c r="B418" s="27"/>
      <c r="C418" s="28">
        <v>20</v>
      </c>
      <c r="D418" s="28">
        <v>14.43</v>
      </c>
      <c r="E418" s="28">
        <v>184.86</v>
      </c>
      <c r="G418" s="27" t="s">
        <v>37</v>
      </c>
      <c r="H418" s="27"/>
      <c r="I418" s="28">
        <v>18</v>
      </c>
      <c r="J418" s="28">
        <v>14.86</v>
      </c>
      <c r="K418" s="28">
        <v>181</v>
      </c>
      <c r="M418" s="14" t="s">
        <v>37</v>
      </c>
      <c r="N418" s="14"/>
      <c r="O418" s="130">
        <v>20</v>
      </c>
      <c r="P418" s="130">
        <v>5</v>
      </c>
      <c r="Q418" s="130">
        <v>166.43</v>
      </c>
      <c r="S418" s="14" t="s">
        <v>37</v>
      </c>
      <c r="T418" s="14"/>
      <c r="U418" s="130">
        <v>22</v>
      </c>
      <c r="V418" s="130">
        <v>0</v>
      </c>
      <c r="W418" s="130">
        <v>145</v>
      </c>
      <c r="Y418" s="14" t="s">
        <v>37</v>
      </c>
      <c r="Z418" s="14"/>
      <c r="AA418" s="130">
        <v>19</v>
      </c>
      <c r="AB418" s="130">
        <v>-2.29</v>
      </c>
      <c r="AC418" s="130">
        <v>122.86</v>
      </c>
      <c r="AE418" s="14" t="s">
        <v>37</v>
      </c>
      <c r="AF418" s="232">
        <f t="shared" si="169"/>
        <v>19.8</v>
      </c>
      <c r="AG418" s="232">
        <f t="shared" ref="AG418:AG421" si="170">AVERAGE(P418,J418,D418,V418,AB418)</f>
        <v>6.4</v>
      </c>
      <c r="AH418" s="232">
        <f t="shared" si="166"/>
        <v>160.03</v>
      </c>
    </row>
    <row r="419" spans="1:34" x14ac:dyDescent="0.25">
      <c r="A419" s="27" t="s">
        <v>9</v>
      </c>
      <c r="B419" s="27"/>
      <c r="C419" s="28">
        <v>17</v>
      </c>
      <c r="D419" s="28">
        <v>16.14</v>
      </c>
      <c r="E419" s="28">
        <v>169.29</v>
      </c>
      <c r="G419" s="27" t="s">
        <v>9</v>
      </c>
      <c r="H419" s="27"/>
      <c r="I419" s="28">
        <v>19</v>
      </c>
      <c r="J419" s="28">
        <v>14.86</v>
      </c>
      <c r="K419" s="28">
        <v>165.86</v>
      </c>
      <c r="M419" s="14" t="s">
        <v>9</v>
      </c>
      <c r="N419" s="14"/>
      <c r="O419" s="130">
        <v>18</v>
      </c>
      <c r="P419" s="130">
        <v>18</v>
      </c>
      <c r="Q419" s="130">
        <v>163.71</v>
      </c>
      <c r="S419" s="14" t="s">
        <v>9</v>
      </c>
      <c r="T419" s="14"/>
      <c r="U419" s="130">
        <v>19</v>
      </c>
      <c r="V419" s="130">
        <v>-3.29</v>
      </c>
      <c r="W419" s="130">
        <v>140.29</v>
      </c>
      <c r="Y419" s="14" t="s">
        <v>9</v>
      </c>
      <c r="Z419" s="14"/>
      <c r="AA419" s="130">
        <v>23</v>
      </c>
      <c r="AB419" s="130">
        <v>-9</v>
      </c>
      <c r="AC419" s="130">
        <v>109.71</v>
      </c>
      <c r="AE419" s="14" t="s">
        <v>9</v>
      </c>
      <c r="AF419" s="232">
        <f t="shared" si="169"/>
        <v>19.2</v>
      </c>
      <c r="AG419" s="232">
        <f t="shared" si="170"/>
        <v>7.3420000000000005</v>
      </c>
      <c r="AH419" s="232">
        <f t="shared" si="166"/>
        <v>149.77199999999999</v>
      </c>
    </row>
    <row r="420" spans="1:34" x14ac:dyDescent="0.25">
      <c r="A420" s="27" t="s">
        <v>12</v>
      </c>
      <c r="B420" s="27"/>
      <c r="C420" s="28">
        <v>27</v>
      </c>
      <c r="D420" s="28">
        <v>15.71</v>
      </c>
      <c r="E420" s="28">
        <v>170.86</v>
      </c>
      <c r="G420" s="27" t="s">
        <v>12</v>
      </c>
      <c r="H420" s="27"/>
      <c r="I420" s="28">
        <v>27</v>
      </c>
      <c r="J420" s="28">
        <v>6</v>
      </c>
      <c r="K420" s="28">
        <v>150.71</v>
      </c>
      <c r="M420" s="27" t="s">
        <v>12</v>
      </c>
      <c r="N420" s="27"/>
      <c r="O420" s="28">
        <v>25</v>
      </c>
      <c r="P420" s="28">
        <v>15</v>
      </c>
      <c r="Q420" s="28">
        <v>142.29</v>
      </c>
      <c r="S420" s="27" t="s">
        <v>12</v>
      </c>
      <c r="T420" s="27"/>
      <c r="U420" s="28">
        <v>20</v>
      </c>
      <c r="V420" s="28">
        <v>11.71</v>
      </c>
      <c r="W420" s="28">
        <v>134.29</v>
      </c>
      <c r="Y420" s="27" t="s">
        <v>12</v>
      </c>
      <c r="Z420" s="27"/>
      <c r="AA420" s="28">
        <v>22</v>
      </c>
      <c r="AB420" s="28">
        <v>54.71</v>
      </c>
      <c r="AC420" s="28">
        <v>176.43</v>
      </c>
      <c r="AE420" s="27" t="s">
        <v>12</v>
      </c>
      <c r="AF420" s="225">
        <f t="shared" si="169"/>
        <v>24.2</v>
      </c>
      <c r="AG420" s="225">
        <f t="shared" si="170"/>
        <v>20.625999999999998</v>
      </c>
      <c r="AH420" s="225">
        <f t="shared" si="166"/>
        <v>154.916</v>
      </c>
    </row>
    <row r="421" spans="1:34" x14ac:dyDescent="0.25">
      <c r="A421" s="27" t="s">
        <v>10</v>
      </c>
      <c r="B421" s="27"/>
      <c r="C421" s="28">
        <v>33</v>
      </c>
      <c r="D421" s="28">
        <v>24.57</v>
      </c>
      <c r="E421" s="28">
        <v>258.57</v>
      </c>
      <c r="G421" s="27" t="s">
        <v>10</v>
      </c>
      <c r="H421" s="27"/>
      <c r="I421" s="28">
        <v>33</v>
      </c>
      <c r="J421" s="28">
        <v>26.57</v>
      </c>
      <c r="K421" s="28">
        <v>252.57</v>
      </c>
      <c r="M421" s="27" t="s">
        <v>10</v>
      </c>
      <c r="N421" s="27"/>
      <c r="O421" s="28">
        <v>31</v>
      </c>
      <c r="P421" s="28">
        <v>-6.14</v>
      </c>
      <c r="Q421" s="28">
        <v>215.29</v>
      </c>
      <c r="S421" s="14" t="s">
        <v>10</v>
      </c>
      <c r="T421" s="14"/>
      <c r="U421" s="130">
        <v>30</v>
      </c>
      <c r="V421" s="130">
        <v>8.14</v>
      </c>
      <c r="W421" s="130">
        <v>191.71</v>
      </c>
      <c r="Y421" s="14" t="s">
        <v>10</v>
      </c>
      <c r="Z421" s="14"/>
      <c r="AA421" s="130">
        <v>31</v>
      </c>
      <c r="AB421" s="130">
        <v>13.71</v>
      </c>
      <c r="AC421" s="130">
        <v>160.13999999999999</v>
      </c>
      <c r="AE421" s="14" t="s">
        <v>10</v>
      </c>
      <c r="AF421" s="232">
        <f t="shared" si="169"/>
        <v>31.6</v>
      </c>
      <c r="AG421" s="225">
        <f t="shared" si="170"/>
        <v>13.37</v>
      </c>
      <c r="AH421" s="232">
        <f t="shared" si="166"/>
        <v>215.65600000000003</v>
      </c>
    </row>
    <row r="422" spans="1:34" x14ac:dyDescent="0.25">
      <c r="A422" s="27" t="s">
        <v>672</v>
      </c>
      <c r="B422" s="27"/>
      <c r="C422" s="28">
        <v>18</v>
      </c>
      <c r="D422" s="28">
        <v>18.14</v>
      </c>
      <c r="E422" s="28">
        <v>203.29</v>
      </c>
      <c r="G422" s="27" t="s">
        <v>672</v>
      </c>
      <c r="H422" s="27"/>
      <c r="I422" s="28">
        <v>20</v>
      </c>
      <c r="J422" s="28">
        <v>16.29</v>
      </c>
      <c r="K422" s="28">
        <v>200</v>
      </c>
      <c r="M422" s="27" t="s">
        <v>672</v>
      </c>
      <c r="N422" s="27"/>
      <c r="O422" s="28">
        <v>19</v>
      </c>
      <c r="P422" s="28">
        <v>22.71</v>
      </c>
      <c r="Q422" s="28">
        <v>204.57</v>
      </c>
      <c r="S422" s="27" t="s">
        <v>672</v>
      </c>
      <c r="T422" s="27"/>
      <c r="U422" s="28">
        <v>24</v>
      </c>
      <c r="V422" s="28">
        <v>35.14</v>
      </c>
      <c r="W422" s="28">
        <v>216.14</v>
      </c>
      <c r="Y422" s="27" t="s">
        <v>672</v>
      </c>
      <c r="Z422" s="27"/>
      <c r="AA422" s="28">
        <v>25</v>
      </c>
      <c r="AB422" s="28">
        <v>28.57</v>
      </c>
      <c r="AC422" s="28">
        <v>225.14</v>
      </c>
      <c r="AE422" s="27" t="s">
        <v>672</v>
      </c>
      <c r="AF422" s="225">
        <f t="shared" si="169"/>
        <v>21.2</v>
      </c>
      <c r="AG422" s="225">
        <f>AVERAGE(P422,J422,D422,V422,AB422)</f>
        <v>24.169999999999998</v>
      </c>
      <c r="AH422" s="225">
        <f t="shared" si="166"/>
        <v>209.82799999999997</v>
      </c>
    </row>
    <row r="423" spans="1:34" x14ac:dyDescent="0.25">
      <c r="A423" s="2" t="s">
        <v>84</v>
      </c>
      <c r="B423" s="2"/>
      <c r="C423" s="28">
        <v>9</v>
      </c>
      <c r="D423" s="28">
        <v>11.71</v>
      </c>
      <c r="E423" s="28">
        <v>105.42</v>
      </c>
      <c r="G423" s="2" t="s">
        <v>84</v>
      </c>
      <c r="H423" s="2"/>
      <c r="I423" s="28">
        <v>9</v>
      </c>
      <c r="J423" s="28">
        <v>27.86</v>
      </c>
      <c r="K423" s="28">
        <v>124.28</v>
      </c>
      <c r="M423" s="2" t="s">
        <v>84</v>
      </c>
      <c r="N423" s="14"/>
      <c r="O423" s="130">
        <v>13</v>
      </c>
      <c r="P423" s="130">
        <v>10.14</v>
      </c>
      <c r="Q423" s="130">
        <v>123</v>
      </c>
      <c r="R423" s="240"/>
      <c r="S423" s="2" t="s">
        <v>84</v>
      </c>
      <c r="T423" s="2"/>
      <c r="U423" s="130">
        <v>11</v>
      </c>
      <c r="V423" s="130">
        <v>25.57</v>
      </c>
      <c r="W423" s="130">
        <v>137.57</v>
      </c>
      <c r="Y423" s="2" t="s">
        <v>84</v>
      </c>
      <c r="Z423" s="14"/>
      <c r="AA423" s="130">
        <v>12</v>
      </c>
      <c r="AB423" s="130">
        <v>79.709999999999994</v>
      </c>
      <c r="AC423" s="130">
        <v>206.43</v>
      </c>
      <c r="AE423" s="2" t="s">
        <v>84</v>
      </c>
      <c r="AF423" s="232">
        <f>AVERAGE(O423,I423,C423,U423,AA423)</f>
        <v>10.8</v>
      </c>
      <c r="AG423" s="225">
        <f>AVERAGE(P423,J423,D423,V423,AB423)</f>
        <v>30.998000000000001</v>
      </c>
      <c r="AH423" s="232">
        <f>AVERAGE(Q423,K423,E423,W423,AC423)</f>
        <v>139.34</v>
      </c>
    </row>
    <row r="424" spans="1:34" x14ac:dyDescent="0.25">
      <c r="A424" s="72" t="s">
        <v>39</v>
      </c>
      <c r="B424" s="72"/>
      <c r="C424" s="8">
        <f>SUM(C409:C423)</f>
        <v>256</v>
      </c>
      <c r="D424" s="8">
        <f>SUM(D409:D423)</f>
        <v>147.41</v>
      </c>
      <c r="E424" s="8">
        <f>SUM(E409:E423)</f>
        <v>2005.2900000000002</v>
      </c>
      <c r="G424" s="72" t="s">
        <v>39</v>
      </c>
      <c r="H424" s="72"/>
      <c r="I424" s="8">
        <f>SUM(I409:I423)</f>
        <v>248</v>
      </c>
      <c r="J424" s="8">
        <f>SUM(J409:J423)</f>
        <v>207.86</v>
      </c>
      <c r="K424" s="8">
        <f>SUM(K409:K423)</f>
        <v>1969.29</v>
      </c>
      <c r="M424" s="72" t="s">
        <v>39</v>
      </c>
      <c r="N424" s="72"/>
      <c r="O424" s="8">
        <f>SUM(O409:O423)</f>
        <v>247</v>
      </c>
      <c r="P424" s="8">
        <f>SUM(P409:P423)</f>
        <v>102.27999999999999</v>
      </c>
      <c r="Q424" s="8">
        <f>SUM(Q409:Q423)</f>
        <v>1831.1399999999999</v>
      </c>
      <c r="S424" s="72" t="s">
        <v>39</v>
      </c>
      <c r="T424" s="72"/>
      <c r="U424" s="8">
        <f>SUM(U409:U423)</f>
        <v>240</v>
      </c>
      <c r="V424" s="8">
        <f>SUM(V409:V423)</f>
        <v>144.12</v>
      </c>
      <c r="W424" s="8">
        <f>SUM(W409:W423)</f>
        <v>1732.5600000000002</v>
      </c>
      <c r="Y424" s="72" t="s">
        <v>39</v>
      </c>
      <c r="Z424" s="72"/>
      <c r="AA424" s="8">
        <f>SUM(AA409:AA423)</f>
        <v>241</v>
      </c>
      <c r="AB424" s="8">
        <f>SUM(AB409:AB423)</f>
        <v>302.7</v>
      </c>
      <c r="AC424" s="8">
        <f>SUM(AC409:AC423)</f>
        <v>1797.2700000000002</v>
      </c>
      <c r="AE424" s="144" t="s">
        <v>695</v>
      </c>
      <c r="AF424" s="217">
        <f>AVERAGE(AF411:AF422)</f>
        <v>19.633333333333329</v>
      </c>
      <c r="AG424" s="217">
        <f>AVERAGE(AG411:AG422)</f>
        <v>12.489666666666666</v>
      </c>
      <c r="AH424" s="217">
        <f>AVERAGE(AH411:AH422)</f>
        <v>143.98083333333332</v>
      </c>
    </row>
    <row r="425" spans="1:34" x14ac:dyDescent="0.25">
      <c r="A425" s="72"/>
      <c r="B425" s="72"/>
      <c r="C425" s="7"/>
      <c r="D425" s="7"/>
      <c r="E425" s="7"/>
      <c r="G425" s="72"/>
      <c r="H425" s="72"/>
      <c r="I425" s="7"/>
      <c r="J425" s="7"/>
      <c r="K425" s="7"/>
      <c r="M425" s="72"/>
      <c r="N425" s="72"/>
      <c r="O425" s="7"/>
      <c r="P425" s="7"/>
      <c r="Q425" s="7"/>
      <c r="S425" s="72"/>
      <c r="T425" s="72"/>
      <c r="U425" s="7"/>
      <c r="V425" s="7"/>
      <c r="W425" s="7"/>
      <c r="Y425" s="72"/>
      <c r="Z425" s="72"/>
      <c r="AA425" s="7"/>
      <c r="AB425" s="7"/>
      <c r="AC425" s="7"/>
    </row>
    <row r="426" spans="1:34" x14ac:dyDescent="0.25">
      <c r="A426" s="72"/>
      <c r="B426" s="6" t="s">
        <v>477</v>
      </c>
      <c r="C426" s="131">
        <f>SUM(C411:C415)</f>
        <v>118</v>
      </c>
      <c r="D426" s="131">
        <f>SUM(D411:D415)</f>
        <v>46.71</v>
      </c>
      <c r="E426" s="131">
        <f>SUM(E411:E415)</f>
        <v>866.43</v>
      </c>
      <c r="G426" s="72"/>
      <c r="H426" s="6" t="s">
        <v>477</v>
      </c>
      <c r="I426" s="131">
        <f>SUM(I411:I415)</f>
        <v>112</v>
      </c>
      <c r="J426" s="93">
        <f>SUM(J411:J415)</f>
        <v>101.42000000000002</v>
      </c>
      <c r="K426" s="131">
        <f>SUM(K411:K415)</f>
        <v>858.15000000000009</v>
      </c>
      <c r="M426" s="72"/>
      <c r="N426" s="6" t="s">
        <v>477</v>
      </c>
      <c r="O426" s="131">
        <f>SUM(O411:O415)</f>
        <v>113</v>
      </c>
      <c r="P426" s="131">
        <f>SUM(P411:P415)</f>
        <v>37.57</v>
      </c>
      <c r="Q426" s="131">
        <f>SUM(Q411:Q415)</f>
        <v>786.28</v>
      </c>
      <c r="S426" s="72"/>
      <c r="T426" s="6" t="s">
        <v>477</v>
      </c>
      <c r="U426" s="131">
        <f>SUM(U411:U415)</f>
        <v>107</v>
      </c>
      <c r="V426" s="131">
        <f>SUM(V411:V415)</f>
        <v>66.849999999999994</v>
      </c>
      <c r="W426" s="131">
        <f>SUM(W411:W415)</f>
        <v>744.99</v>
      </c>
      <c r="Y426" s="72"/>
      <c r="Z426" s="6" t="s">
        <v>477</v>
      </c>
      <c r="AA426" s="131">
        <f>SUM(AA411:AA415)</f>
        <v>102</v>
      </c>
      <c r="AB426" s="131">
        <f>SUM(AB411:AB415)</f>
        <v>137.29</v>
      </c>
      <c r="AC426" s="131">
        <f>SUM(AC411:AC415)</f>
        <v>781.28</v>
      </c>
    </row>
    <row r="427" spans="1:34" x14ac:dyDescent="0.25">
      <c r="A427" s="68"/>
      <c r="B427" s="6" t="s">
        <v>479</v>
      </c>
      <c r="C427" s="93">
        <f>SUM(C416:C422)</f>
        <v>129</v>
      </c>
      <c r="D427" s="93">
        <f t="shared" ref="D427:E427" si="171">SUM(D416:D422)</f>
        <v>88.99</v>
      </c>
      <c r="E427" s="93">
        <f t="shared" si="171"/>
        <v>1033.44</v>
      </c>
      <c r="G427" s="68"/>
      <c r="H427" s="6" t="s">
        <v>479</v>
      </c>
      <c r="I427" s="93">
        <f>SUM(I416:I422)</f>
        <v>127</v>
      </c>
      <c r="J427" s="95">
        <f>SUM(J416:J422)</f>
        <v>78.58</v>
      </c>
      <c r="K427" s="93">
        <f>SUM(K416:K422)</f>
        <v>986.86000000000013</v>
      </c>
      <c r="M427" s="68"/>
      <c r="N427" s="6" t="s">
        <v>479</v>
      </c>
      <c r="O427" s="93">
        <f>SUM(O416:O422)</f>
        <v>121</v>
      </c>
      <c r="P427" s="93">
        <f t="shared" ref="P427:Q427" si="172">SUM(P416:P422)</f>
        <v>54.57</v>
      </c>
      <c r="Q427" s="93">
        <f t="shared" si="172"/>
        <v>921.8599999999999</v>
      </c>
      <c r="S427" s="68"/>
      <c r="T427" s="6" t="s">
        <v>479</v>
      </c>
      <c r="U427" s="93">
        <f>SUM(U416:U422)</f>
        <v>122</v>
      </c>
      <c r="V427" s="93">
        <f t="shared" ref="V427:W427" si="173">SUM(V416:V422)</f>
        <v>51.7</v>
      </c>
      <c r="W427" s="93">
        <f t="shared" si="173"/>
        <v>850</v>
      </c>
      <c r="Y427" s="68"/>
      <c r="Z427" s="6" t="s">
        <v>479</v>
      </c>
      <c r="AA427" s="93">
        <f>SUM(AA416:AA422)</f>
        <v>127</v>
      </c>
      <c r="AB427" s="93">
        <f t="shared" ref="AB427:AC427" si="174">SUM(AB416:AB422)</f>
        <v>85.7</v>
      </c>
      <c r="AC427" s="93">
        <f t="shared" si="174"/>
        <v>809.56</v>
      </c>
    </row>
    <row r="428" spans="1:34" ht="30" x14ac:dyDescent="0.25">
      <c r="A428" s="68" t="s">
        <v>1355</v>
      </c>
      <c r="B428" s="6"/>
      <c r="C428" s="66">
        <v>14</v>
      </c>
      <c r="D428" s="66">
        <v>39</v>
      </c>
      <c r="E428" s="224">
        <f>SUM(D424/(C428+D428))</f>
        <v>2.7813207547169809</v>
      </c>
      <c r="G428" s="68" t="s">
        <v>1355</v>
      </c>
      <c r="H428" s="6"/>
      <c r="I428" s="66">
        <v>10</v>
      </c>
      <c r="J428" s="66">
        <v>31</v>
      </c>
      <c r="K428" s="224">
        <f>SUM(J424/(J428+I428))</f>
        <v>5.0697560975609761</v>
      </c>
      <c r="M428" s="68" t="s">
        <v>1355</v>
      </c>
      <c r="N428" s="6"/>
      <c r="O428" s="66">
        <v>9</v>
      </c>
      <c r="P428" s="66">
        <v>32</v>
      </c>
      <c r="Q428" s="224">
        <f>SUM(P424/(O428+P428))</f>
        <v>2.494634146341463</v>
      </c>
      <c r="S428" s="68" t="s">
        <v>1355</v>
      </c>
      <c r="T428" s="6"/>
      <c r="U428" s="66">
        <v>10</v>
      </c>
      <c r="V428" s="66">
        <v>22</v>
      </c>
      <c r="W428" s="224">
        <f>SUM(V424/(U428+V428))</f>
        <v>4.5037500000000001</v>
      </c>
      <c r="Y428" s="68" t="s">
        <v>1355</v>
      </c>
      <c r="Z428" s="6"/>
      <c r="AA428" s="66">
        <v>12</v>
      </c>
      <c r="AB428" s="66">
        <v>20</v>
      </c>
      <c r="AC428" s="224">
        <f>SUM(AB424/(AA428+AB428))</f>
        <v>9.4593749999999996</v>
      </c>
    </row>
    <row r="429" spans="1:34" x14ac:dyDescent="0.25">
      <c r="A429" s="72" t="s">
        <v>41</v>
      </c>
      <c r="B429" s="6"/>
      <c r="C429" s="8" t="s">
        <v>1364</v>
      </c>
      <c r="D429" s="8" t="s">
        <v>1365</v>
      </c>
      <c r="E429" s="8"/>
      <c r="G429" s="72" t="s">
        <v>41</v>
      </c>
      <c r="H429" s="6"/>
      <c r="I429" s="8" t="s">
        <v>1364</v>
      </c>
      <c r="J429" s="8" t="s">
        <v>1365</v>
      </c>
      <c r="K429" s="8"/>
      <c r="M429" s="72" t="s">
        <v>41</v>
      </c>
      <c r="N429" s="6"/>
      <c r="O429" s="8" t="s">
        <v>1364</v>
      </c>
      <c r="P429" s="8" t="s">
        <v>1365</v>
      </c>
      <c r="Q429" s="8"/>
      <c r="S429" s="72" t="s">
        <v>41</v>
      </c>
      <c r="T429" s="6"/>
      <c r="U429" s="8" t="s">
        <v>1364</v>
      </c>
      <c r="V429" s="8" t="s">
        <v>1365</v>
      </c>
      <c r="W429" s="8"/>
      <c r="Y429" s="72" t="s">
        <v>41</v>
      </c>
      <c r="Z429" s="6"/>
      <c r="AA429" s="8" t="s">
        <v>1364</v>
      </c>
      <c r="AB429" s="8" t="s">
        <v>1365</v>
      </c>
      <c r="AC429" s="8"/>
    </row>
    <row r="430" spans="1:34" x14ac:dyDescent="0.25">
      <c r="C430" s="12" t="e">
        <f>#REF!-#REF!</f>
        <v>#REF!</v>
      </c>
      <c r="D430" s="12" t="e">
        <f>#REF!-#REF!</f>
        <v>#REF!</v>
      </c>
      <c r="E430" s="12" t="e">
        <f>#REF!-#REF!</f>
        <v>#REF!</v>
      </c>
      <c r="I430" s="12" t="e">
        <f>#REF!-#REF!</f>
        <v>#REF!</v>
      </c>
      <c r="J430" s="12" t="e">
        <f>#REF!-#REF!</f>
        <v>#REF!</v>
      </c>
      <c r="K430" s="12" t="e">
        <f>#REF!-#REF!</f>
        <v>#REF!</v>
      </c>
      <c r="O430" s="12" t="e">
        <f>#REF!-#REF!</f>
        <v>#REF!</v>
      </c>
      <c r="P430" s="12" t="e">
        <f>#REF!-#REF!</f>
        <v>#REF!</v>
      </c>
      <c r="Q430" s="12" t="e">
        <f>#REF!-#REF!</f>
        <v>#REF!</v>
      </c>
      <c r="U430" s="12" t="e">
        <f>#REF!-#REF!</f>
        <v>#REF!</v>
      </c>
      <c r="V430" s="12" t="e">
        <f>#REF!-#REF!</f>
        <v>#REF!</v>
      </c>
      <c r="W430" s="12" t="e">
        <f>#REF!-#REF!</f>
        <v>#REF!</v>
      </c>
      <c r="AA430" s="12" t="e">
        <f>#REF!-#REF!</f>
        <v>#REF!</v>
      </c>
      <c r="AB430" s="12" t="e">
        <f>#REF!-#REF!</f>
        <v>#REF!</v>
      </c>
      <c r="AC430" s="12" t="e">
        <f>#REF!-#REF!</f>
        <v>#REF!</v>
      </c>
    </row>
    <row r="432" spans="1:34" ht="18.75" x14ac:dyDescent="0.3">
      <c r="A432" s="69" t="s">
        <v>1418</v>
      </c>
      <c r="B432" s="4"/>
      <c r="C432" s="10"/>
      <c r="D432" s="10"/>
      <c r="E432" s="10"/>
      <c r="G432" s="69" t="s">
        <v>1419</v>
      </c>
      <c r="H432" s="4"/>
      <c r="I432" s="10"/>
      <c r="J432" s="10"/>
      <c r="K432" s="10"/>
      <c r="M432" s="69" t="s">
        <v>1420</v>
      </c>
      <c r="N432" s="4"/>
      <c r="O432" s="10"/>
      <c r="P432" s="10"/>
      <c r="Q432" s="10"/>
      <c r="S432" s="69" t="s">
        <v>1421</v>
      </c>
      <c r="T432" s="4"/>
      <c r="U432" s="10"/>
      <c r="V432" s="10"/>
      <c r="W432" s="10"/>
      <c r="Y432" s="6" t="s">
        <v>1422</v>
      </c>
    </row>
    <row r="433" spans="1:28" ht="45" x14ac:dyDescent="0.25">
      <c r="A433" s="70"/>
      <c r="B433" s="70"/>
      <c r="C433" s="71" t="s">
        <v>26</v>
      </c>
      <c r="D433" s="71" t="s">
        <v>27</v>
      </c>
      <c r="E433" s="71" t="s">
        <v>28</v>
      </c>
      <c r="G433" s="70"/>
      <c r="H433" s="70"/>
      <c r="I433" s="71" t="s">
        <v>26</v>
      </c>
      <c r="J433" s="71" t="s">
        <v>27</v>
      </c>
      <c r="K433" s="71" t="s">
        <v>28</v>
      </c>
      <c r="M433" s="70"/>
      <c r="N433" s="70"/>
      <c r="O433" s="71" t="s">
        <v>26</v>
      </c>
      <c r="P433" s="71" t="s">
        <v>27</v>
      </c>
      <c r="Q433" s="71" t="s">
        <v>28</v>
      </c>
      <c r="S433" s="70"/>
      <c r="T433" s="70"/>
      <c r="U433" s="71" t="s">
        <v>26</v>
      </c>
      <c r="V433" s="71" t="s">
        <v>27</v>
      </c>
      <c r="W433" s="71" t="s">
        <v>28</v>
      </c>
      <c r="Y433" s="124" t="s">
        <v>685</v>
      </c>
      <c r="Z433" s="71" t="s">
        <v>26</v>
      </c>
      <c r="AA433" s="71" t="s">
        <v>27</v>
      </c>
      <c r="AB433" s="71" t="s">
        <v>28</v>
      </c>
    </row>
    <row r="434" spans="1:28" x14ac:dyDescent="0.25">
      <c r="A434" s="90" t="s">
        <v>29</v>
      </c>
      <c r="B434" s="90"/>
      <c r="C434" s="91">
        <v>18</v>
      </c>
      <c r="D434" s="91">
        <v>21.86</v>
      </c>
      <c r="E434" s="91">
        <v>141.71</v>
      </c>
      <c r="G434" s="90" t="s">
        <v>29</v>
      </c>
      <c r="H434" s="90"/>
      <c r="I434" s="91">
        <v>16</v>
      </c>
      <c r="J434" s="91">
        <v>24</v>
      </c>
      <c r="K434" s="91">
        <v>149.71</v>
      </c>
      <c r="M434" s="90" t="s">
        <v>1284</v>
      </c>
      <c r="N434" s="90"/>
      <c r="O434" s="91">
        <v>18</v>
      </c>
      <c r="P434" s="91">
        <v>8</v>
      </c>
      <c r="Q434" s="91">
        <v>137.43</v>
      </c>
      <c r="S434" s="90" t="s">
        <v>29</v>
      </c>
      <c r="T434" s="90"/>
      <c r="U434" s="91">
        <v>17</v>
      </c>
      <c r="V434" s="91">
        <v>40.14</v>
      </c>
      <c r="W434" s="91">
        <v>161.71</v>
      </c>
      <c r="Y434" s="90" t="s">
        <v>29</v>
      </c>
      <c r="Z434" s="90">
        <f>AVERAGE(O434,I434,C434,U434)</f>
        <v>17.25</v>
      </c>
      <c r="AA434" s="90">
        <f>AVERAGE(P434,J434,D434,V434)</f>
        <v>23.5</v>
      </c>
      <c r="AB434" s="90">
        <f>AVERAGE(Q434,K434,E434,W434)</f>
        <v>147.64000000000001</v>
      </c>
    </row>
    <row r="435" spans="1:28" x14ac:dyDescent="0.25">
      <c r="A435" s="90" t="s">
        <v>35</v>
      </c>
      <c r="B435" s="90"/>
      <c r="C435" s="91">
        <v>20</v>
      </c>
      <c r="D435" s="91">
        <v>50.14</v>
      </c>
      <c r="E435" s="91">
        <v>207.57</v>
      </c>
      <c r="G435" s="90" t="s">
        <v>35</v>
      </c>
      <c r="H435" s="90"/>
      <c r="I435" s="91">
        <v>19</v>
      </c>
      <c r="J435" s="91">
        <v>30.57</v>
      </c>
      <c r="K435" s="91">
        <v>219.14</v>
      </c>
      <c r="M435" s="90" t="s">
        <v>1286</v>
      </c>
      <c r="N435" s="90"/>
      <c r="O435" s="91">
        <v>21</v>
      </c>
      <c r="P435" s="91">
        <v>42.14</v>
      </c>
      <c r="Q435" s="91">
        <v>242</v>
      </c>
      <c r="S435" s="90" t="s">
        <v>35</v>
      </c>
      <c r="T435" s="90"/>
      <c r="U435" s="91">
        <v>21</v>
      </c>
      <c r="V435" s="91">
        <v>50.43</v>
      </c>
      <c r="W435" s="91">
        <v>271.86</v>
      </c>
      <c r="Y435" s="90" t="s">
        <v>35</v>
      </c>
      <c r="Z435" s="90">
        <f t="shared" ref="Z435" si="175">AVERAGE(O435,I435,C435,U435)</f>
        <v>20.25</v>
      </c>
      <c r="AA435" s="90">
        <f t="shared" ref="AA435:AA445" si="176">AVERAGE(P435,J435,D435,V435)</f>
        <v>43.32</v>
      </c>
      <c r="AB435" s="90">
        <f t="shared" ref="AB435:AB445" si="177">AVERAGE(Q435,K435,E435,W435)</f>
        <v>235.14250000000001</v>
      </c>
    </row>
    <row r="436" spans="1:28" x14ac:dyDescent="0.25">
      <c r="A436" s="90" t="s">
        <v>32</v>
      </c>
      <c r="B436" s="90"/>
      <c r="C436" s="91">
        <v>24</v>
      </c>
      <c r="D436" s="91">
        <v>3.14</v>
      </c>
      <c r="E436" s="91">
        <v>150.13999999999999</v>
      </c>
      <c r="G436" s="90" t="s">
        <v>32</v>
      </c>
      <c r="H436" s="90"/>
      <c r="I436" s="91">
        <v>25</v>
      </c>
      <c r="J436" s="91">
        <v>34.14</v>
      </c>
      <c r="K436" s="91">
        <v>160.43</v>
      </c>
      <c r="M436" s="90" t="s">
        <v>32</v>
      </c>
      <c r="N436" s="90"/>
      <c r="O436" s="91">
        <v>24</v>
      </c>
      <c r="P436" s="91">
        <v>53.29</v>
      </c>
      <c r="Q436" s="91">
        <v>189.14</v>
      </c>
      <c r="S436" s="90" t="s">
        <v>32</v>
      </c>
      <c r="T436" s="90"/>
      <c r="U436" s="91">
        <v>25</v>
      </c>
      <c r="V436" s="91">
        <v>24.14</v>
      </c>
      <c r="W436" s="91">
        <v>188.43</v>
      </c>
      <c r="Y436" s="90" t="s">
        <v>32</v>
      </c>
      <c r="Z436" s="90">
        <f>AVERAGE(O436,I436,C436,U436)</f>
        <v>24.5</v>
      </c>
      <c r="AA436" s="90">
        <f t="shared" si="176"/>
        <v>28.677500000000002</v>
      </c>
      <c r="AB436" s="90">
        <f t="shared" si="177"/>
        <v>172.035</v>
      </c>
    </row>
    <row r="437" spans="1:28" s="16" customFormat="1" x14ac:dyDescent="0.25">
      <c r="A437" s="14" t="s">
        <v>11</v>
      </c>
      <c r="B437" s="14"/>
      <c r="C437" s="130">
        <v>17</v>
      </c>
      <c r="D437" s="130">
        <v>0</v>
      </c>
      <c r="E437" s="130">
        <v>128.43</v>
      </c>
      <c r="G437" s="14" t="s">
        <v>11</v>
      </c>
      <c r="H437" s="14"/>
      <c r="I437" s="130">
        <v>17</v>
      </c>
      <c r="J437" s="130">
        <v>-6</v>
      </c>
      <c r="K437" s="130">
        <v>104.71</v>
      </c>
      <c r="M437" s="14" t="s">
        <v>1285</v>
      </c>
      <c r="N437" s="14"/>
      <c r="O437" s="130">
        <v>13</v>
      </c>
      <c r="P437" s="130">
        <v>0</v>
      </c>
      <c r="Q437" s="130">
        <v>91.71</v>
      </c>
      <c r="S437" s="14" t="s">
        <v>11</v>
      </c>
      <c r="T437" s="14"/>
      <c r="U437" s="130">
        <v>12</v>
      </c>
      <c r="V437" s="130">
        <v>0</v>
      </c>
      <c r="W437" s="130">
        <v>80</v>
      </c>
      <c r="Y437" s="14" t="s">
        <v>11</v>
      </c>
      <c r="Z437" s="232">
        <f>AVERAGE(O437,I437,C437,U437)</f>
        <v>14.75</v>
      </c>
      <c r="AA437" s="232">
        <f t="shared" si="176"/>
        <v>-1.5</v>
      </c>
      <c r="AB437" s="232">
        <f t="shared" si="177"/>
        <v>101.21250000000001</v>
      </c>
    </row>
    <row r="438" spans="1:28" x14ac:dyDescent="0.25">
      <c r="A438" s="90" t="s">
        <v>48</v>
      </c>
      <c r="B438" s="90"/>
      <c r="C438" s="91">
        <v>20</v>
      </c>
      <c r="D438" s="91">
        <v>23.43</v>
      </c>
      <c r="E438" s="91">
        <v>159.13999999999999</v>
      </c>
      <c r="G438" s="90" t="s">
        <v>48</v>
      </c>
      <c r="H438" s="90"/>
      <c r="I438" s="91">
        <v>22</v>
      </c>
      <c r="J438" s="91">
        <v>49.86</v>
      </c>
      <c r="K438" s="91">
        <v>187.43</v>
      </c>
      <c r="M438" s="90" t="s">
        <v>48</v>
      </c>
      <c r="N438" s="90"/>
      <c r="O438" s="91">
        <v>24</v>
      </c>
      <c r="P438" s="91">
        <v>17.14</v>
      </c>
      <c r="Q438" s="91">
        <v>184.57</v>
      </c>
      <c r="S438" s="90" t="s">
        <v>48</v>
      </c>
      <c r="T438" s="90"/>
      <c r="U438" s="91">
        <v>27</v>
      </c>
      <c r="V438" s="91">
        <v>37.14</v>
      </c>
      <c r="W438" s="91">
        <v>196.29</v>
      </c>
      <c r="Y438" s="90" t="s">
        <v>48</v>
      </c>
      <c r="Z438" s="90">
        <f t="shared" ref="Z438:Z445" si="178">AVERAGE(O438,I438,C438,U438)</f>
        <v>23.25</v>
      </c>
      <c r="AA438" s="90">
        <f t="shared" si="176"/>
        <v>31.892500000000002</v>
      </c>
      <c r="AB438" s="90">
        <f t="shared" si="177"/>
        <v>181.85749999999999</v>
      </c>
    </row>
    <row r="439" spans="1:28" x14ac:dyDescent="0.25">
      <c r="A439" s="14" t="s">
        <v>36</v>
      </c>
      <c r="B439" s="14"/>
      <c r="C439" s="130">
        <v>2</v>
      </c>
      <c r="D439" s="130">
        <v>0</v>
      </c>
      <c r="E439" s="130">
        <v>0.71</v>
      </c>
      <c r="F439" s="16"/>
      <c r="G439" s="14" t="s">
        <v>36</v>
      </c>
      <c r="H439" s="14"/>
      <c r="I439" s="130">
        <v>1</v>
      </c>
      <c r="J439" s="130">
        <v>0</v>
      </c>
      <c r="K439" s="130">
        <v>0</v>
      </c>
      <c r="L439" s="16"/>
      <c r="M439" s="14" t="s">
        <v>1440</v>
      </c>
      <c r="N439" s="14"/>
      <c r="O439" s="130"/>
      <c r="P439" s="130">
        <v>4.8600000000000003</v>
      </c>
      <c r="Q439" s="130">
        <v>4.8600000000000003</v>
      </c>
      <c r="R439" s="16"/>
      <c r="S439" s="14" t="s">
        <v>1440</v>
      </c>
      <c r="T439" s="14"/>
      <c r="U439" s="130">
        <v>0</v>
      </c>
      <c r="V439" s="130">
        <v>4</v>
      </c>
      <c r="W439" s="130">
        <v>8.86</v>
      </c>
      <c r="X439" s="16"/>
      <c r="Y439" s="14" t="s">
        <v>1440</v>
      </c>
      <c r="Z439" s="232">
        <f t="shared" si="178"/>
        <v>1</v>
      </c>
      <c r="AA439" s="232">
        <f t="shared" si="176"/>
        <v>2.2149999999999999</v>
      </c>
      <c r="AB439" s="232">
        <f t="shared" si="177"/>
        <v>3.6074999999999999</v>
      </c>
    </row>
    <row r="440" spans="1:28" x14ac:dyDescent="0.25">
      <c r="A440" s="14" t="s">
        <v>481</v>
      </c>
      <c r="B440" s="14"/>
      <c r="C440" s="130">
        <v>3</v>
      </c>
      <c r="D440" s="130">
        <v>0</v>
      </c>
      <c r="E440" s="130">
        <v>9.7100000000000009</v>
      </c>
      <c r="G440" s="14" t="s">
        <v>481</v>
      </c>
      <c r="H440" s="14"/>
      <c r="I440" s="130">
        <v>2</v>
      </c>
      <c r="J440" s="130">
        <v>0</v>
      </c>
      <c r="K440" s="130">
        <v>7.71</v>
      </c>
      <c r="M440" s="14" t="s">
        <v>481</v>
      </c>
      <c r="N440" s="14"/>
      <c r="O440" s="130">
        <v>2</v>
      </c>
      <c r="P440" s="130">
        <v>0</v>
      </c>
      <c r="Q440" s="130">
        <v>5.71</v>
      </c>
      <c r="S440" s="14" t="s">
        <v>481</v>
      </c>
      <c r="T440" s="14"/>
      <c r="U440" s="130">
        <v>1</v>
      </c>
      <c r="V440" s="130">
        <v>0</v>
      </c>
      <c r="W440" s="130">
        <v>4.71</v>
      </c>
      <c r="Y440" s="14" t="s">
        <v>690</v>
      </c>
      <c r="Z440" s="232">
        <f t="shared" si="178"/>
        <v>2</v>
      </c>
      <c r="AA440" s="232">
        <f t="shared" si="176"/>
        <v>0</v>
      </c>
      <c r="AB440" s="232">
        <f t="shared" si="177"/>
        <v>6.9600000000000009</v>
      </c>
    </row>
    <row r="441" spans="1:28" s="16" customFormat="1" x14ac:dyDescent="0.25">
      <c r="A441" s="14" t="s">
        <v>37</v>
      </c>
      <c r="B441" s="14"/>
      <c r="C441" s="130">
        <v>19</v>
      </c>
      <c r="D441" s="130">
        <v>0</v>
      </c>
      <c r="E441" s="130">
        <v>104.14</v>
      </c>
      <c r="G441" s="14" t="s">
        <v>37</v>
      </c>
      <c r="H441" s="14"/>
      <c r="I441" s="130">
        <v>16</v>
      </c>
      <c r="J441" s="130">
        <v>0</v>
      </c>
      <c r="K441" s="130">
        <v>87.14</v>
      </c>
      <c r="M441" s="14" t="s">
        <v>37</v>
      </c>
      <c r="N441" s="14"/>
      <c r="O441" s="130">
        <v>16</v>
      </c>
      <c r="P441" s="130">
        <v>0</v>
      </c>
      <c r="Q441" s="130">
        <v>71.290000000000006</v>
      </c>
      <c r="S441" s="14" t="s">
        <v>37</v>
      </c>
      <c r="T441" s="14"/>
      <c r="U441" s="130">
        <v>16</v>
      </c>
      <c r="V441" s="130">
        <v>0</v>
      </c>
      <c r="W441" s="130">
        <v>56.14</v>
      </c>
      <c r="Y441" s="14" t="s">
        <v>37</v>
      </c>
      <c r="Z441" s="232">
        <f t="shared" si="178"/>
        <v>16.75</v>
      </c>
      <c r="AA441" s="232">
        <f t="shared" si="176"/>
        <v>0</v>
      </c>
      <c r="AB441" s="232">
        <f t="shared" si="177"/>
        <v>79.677499999999995</v>
      </c>
    </row>
    <row r="442" spans="1:28" s="16" customFormat="1" x14ac:dyDescent="0.25">
      <c r="A442" s="14" t="s">
        <v>9</v>
      </c>
      <c r="B442" s="14"/>
      <c r="C442" s="130">
        <v>17</v>
      </c>
      <c r="D442" s="130">
        <v>0</v>
      </c>
      <c r="E442" s="130">
        <v>93.57</v>
      </c>
      <c r="G442" s="14" t="s">
        <v>9</v>
      </c>
      <c r="H442" s="14"/>
      <c r="I442" s="130">
        <v>16</v>
      </c>
      <c r="J442" s="130"/>
      <c r="K442" s="130">
        <v>87.71</v>
      </c>
      <c r="M442" s="14" t="s">
        <v>9</v>
      </c>
      <c r="N442" s="14"/>
      <c r="O442" s="130">
        <v>17</v>
      </c>
      <c r="P442" s="130">
        <v>0</v>
      </c>
      <c r="Q442" s="130">
        <v>60.43</v>
      </c>
      <c r="S442" s="14" t="s">
        <v>9</v>
      </c>
      <c r="T442" s="14"/>
      <c r="U442" s="130">
        <v>15</v>
      </c>
      <c r="V442" s="130">
        <v>0</v>
      </c>
      <c r="W442" s="130">
        <v>44.71</v>
      </c>
      <c r="Y442" s="14" t="s">
        <v>9</v>
      </c>
      <c r="Z442" s="232">
        <f t="shared" si="178"/>
        <v>16.25</v>
      </c>
      <c r="AA442" s="232">
        <f t="shared" si="176"/>
        <v>0</v>
      </c>
      <c r="AB442" s="232">
        <f t="shared" si="177"/>
        <v>71.60499999999999</v>
      </c>
    </row>
    <row r="443" spans="1:28" x14ac:dyDescent="0.25">
      <c r="A443" s="90" t="s">
        <v>12</v>
      </c>
      <c r="B443" s="90"/>
      <c r="C443" s="90">
        <v>18</v>
      </c>
      <c r="D443" s="90">
        <v>37.57</v>
      </c>
      <c r="E443" s="90">
        <v>201</v>
      </c>
      <c r="G443" s="90" t="s">
        <v>12</v>
      </c>
      <c r="H443" s="90"/>
      <c r="I443" s="90">
        <v>21</v>
      </c>
      <c r="J443" s="90">
        <v>15.14</v>
      </c>
      <c r="K443" s="90">
        <v>196.71</v>
      </c>
      <c r="M443" s="90" t="s">
        <v>12</v>
      </c>
      <c r="N443" s="90"/>
      <c r="O443" s="90">
        <v>21</v>
      </c>
      <c r="P443" s="90">
        <v>37.43</v>
      </c>
      <c r="Q443" s="90">
        <v>203.57</v>
      </c>
      <c r="S443" s="90" t="s">
        <v>12</v>
      </c>
      <c r="T443" s="90"/>
      <c r="U443" s="90">
        <v>19</v>
      </c>
      <c r="V443" s="90">
        <v>57.57</v>
      </c>
      <c r="W443" s="90">
        <v>244.14</v>
      </c>
      <c r="Y443" s="90" t="s">
        <v>12</v>
      </c>
      <c r="Z443" s="90">
        <f t="shared" si="178"/>
        <v>19.75</v>
      </c>
      <c r="AA443" s="90">
        <f t="shared" si="176"/>
        <v>36.927500000000002</v>
      </c>
      <c r="AB443" s="90">
        <f t="shared" si="177"/>
        <v>211.35499999999999</v>
      </c>
    </row>
    <row r="444" spans="1:28" s="16" customFormat="1" x14ac:dyDescent="0.25">
      <c r="A444" s="14" t="s">
        <v>10</v>
      </c>
      <c r="B444" s="14"/>
      <c r="C444" s="130">
        <v>25</v>
      </c>
      <c r="D444" s="130">
        <v>0</v>
      </c>
      <c r="E444" s="130">
        <v>123.71</v>
      </c>
      <c r="G444" s="14" t="s">
        <v>10</v>
      </c>
      <c r="H444" s="14"/>
      <c r="I444" s="130">
        <v>17</v>
      </c>
      <c r="J444" s="130"/>
      <c r="K444" s="130">
        <v>111</v>
      </c>
      <c r="M444" s="14" t="s">
        <v>10</v>
      </c>
      <c r="N444" s="14"/>
      <c r="O444" s="130">
        <v>16</v>
      </c>
      <c r="P444" s="130">
        <v>-6.71</v>
      </c>
      <c r="Q444" s="130">
        <v>92.57</v>
      </c>
      <c r="S444" s="14" t="s">
        <v>10</v>
      </c>
      <c r="T444" s="14"/>
      <c r="U444" s="130">
        <v>13</v>
      </c>
      <c r="V444" s="130">
        <v>0</v>
      </c>
      <c r="W444" s="130">
        <v>73.430000000000007</v>
      </c>
      <c r="Y444" s="14" t="s">
        <v>10</v>
      </c>
      <c r="Z444" s="232">
        <f t="shared" si="178"/>
        <v>17.75</v>
      </c>
      <c r="AA444" s="232">
        <f t="shared" si="176"/>
        <v>-2.2366666666666668</v>
      </c>
      <c r="AB444" s="232">
        <f t="shared" si="177"/>
        <v>100.17749999999999</v>
      </c>
    </row>
    <row r="445" spans="1:28" x14ac:dyDescent="0.25">
      <c r="A445" s="90" t="s">
        <v>672</v>
      </c>
      <c r="B445" s="90"/>
      <c r="C445" s="90">
        <v>30</v>
      </c>
      <c r="D445" s="90">
        <v>11.57</v>
      </c>
      <c r="E445" s="90">
        <v>206.86</v>
      </c>
      <c r="G445" s="90" t="s">
        <v>672</v>
      </c>
      <c r="H445" s="90"/>
      <c r="I445" s="90">
        <v>31</v>
      </c>
      <c r="J445" s="90">
        <v>42.86</v>
      </c>
      <c r="K445" s="90">
        <v>215.86</v>
      </c>
      <c r="M445" s="90" t="s">
        <v>672</v>
      </c>
      <c r="N445" s="90"/>
      <c r="O445" s="90">
        <v>29</v>
      </c>
      <c r="P445" s="90">
        <v>25.86</v>
      </c>
      <c r="Q445" s="90">
        <v>218.71</v>
      </c>
      <c r="S445" s="90" t="s">
        <v>672</v>
      </c>
      <c r="T445" s="90"/>
      <c r="U445" s="90">
        <v>25</v>
      </c>
      <c r="V445" s="90">
        <v>15.29</v>
      </c>
      <c r="W445" s="90">
        <v>211.86</v>
      </c>
      <c r="Y445" s="90" t="s">
        <v>672</v>
      </c>
      <c r="Z445" s="90">
        <f t="shared" si="178"/>
        <v>28.75</v>
      </c>
      <c r="AA445" s="90">
        <f t="shared" si="176"/>
        <v>23.894999999999996</v>
      </c>
      <c r="AB445" s="90">
        <f t="shared" si="177"/>
        <v>213.32250000000002</v>
      </c>
    </row>
    <row r="446" spans="1:28" x14ac:dyDescent="0.25">
      <c r="A446" s="90" t="s">
        <v>84</v>
      </c>
      <c r="B446" s="90"/>
      <c r="C446" s="90">
        <v>17</v>
      </c>
      <c r="D446" s="90">
        <v>34.14</v>
      </c>
      <c r="E446" s="90">
        <v>225.29</v>
      </c>
      <c r="G446" s="90" t="s">
        <v>84</v>
      </c>
      <c r="H446" s="90"/>
      <c r="I446" s="90">
        <v>19</v>
      </c>
      <c r="J446" s="90">
        <v>63.15</v>
      </c>
      <c r="K446" s="90">
        <v>259.72000000000003</v>
      </c>
      <c r="M446" s="90" t="s">
        <v>84</v>
      </c>
      <c r="N446" s="90"/>
      <c r="O446" s="90">
        <v>24</v>
      </c>
      <c r="P446" s="90">
        <v>24.15</v>
      </c>
      <c r="Q446" s="90">
        <v>271.43</v>
      </c>
      <c r="S446" s="90" t="s">
        <v>84</v>
      </c>
      <c r="T446" s="90"/>
      <c r="U446" s="90">
        <v>29</v>
      </c>
      <c r="V446" s="90">
        <v>67.58</v>
      </c>
      <c r="W446" s="90">
        <v>311.86</v>
      </c>
      <c r="Y446" s="90" t="s">
        <v>84</v>
      </c>
      <c r="Z446" s="90">
        <f>AVERAGE(O446,I446,C446,U446)</f>
        <v>22.25</v>
      </c>
      <c r="AA446" s="90">
        <f>AVERAGE(P446,J446,D446,V446)</f>
        <v>47.254999999999995</v>
      </c>
      <c r="AB446" s="90">
        <f>AVERAGE(Q446,K446,E446,W446)</f>
        <v>267.07500000000005</v>
      </c>
    </row>
    <row r="447" spans="1:28" x14ac:dyDescent="0.25">
      <c r="A447" s="72" t="s">
        <v>39</v>
      </c>
      <c r="B447" s="72"/>
      <c r="C447" s="8">
        <f>SUM(C432:C446)</f>
        <v>230</v>
      </c>
      <c r="D447" s="8">
        <f>SUM(D434:D446)</f>
        <v>181.84999999999997</v>
      </c>
      <c r="E447" s="8">
        <f>SUM(E432:E446)</f>
        <v>1751.98</v>
      </c>
      <c r="G447" s="72" t="s">
        <v>39</v>
      </c>
      <c r="H447" s="72"/>
      <c r="I447" s="8">
        <f>SUM(I432:I446)</f>
        <v>222</v>
      </c>
      <c r="J447" s="8">
        <f>SUM(J432:J446)</f>
        <v>253.72</v>
      </c>
      <c r="K447" s="8">
        <f>SUM(K432:K446)</f>
        <v>1787.2700000000002</v>
      </c>
      <c r="M447" s="72" t="s">
        <v>39</v>
      </c>
      <c r="N447" s="72"/>
      <c r="O447" s="8">
        <f>SUM(O432:O446)</f>
        <v>225</v>
      </c>
      <c r="P447" s="8">
        <f>SUM(P432:P446)</f>
        <v>206.16</v>
      </c>
      <c r="Q447" s="8">
        <f>SUM(Q432:Q446)</f>
        <v>1773.4199999999998</v>
      </c>
      <c r="S447" s="72" t="s">
        <v>39</v>
      </c>
      <c r="T447" s="72"/>
      <c r="U447" s="8">
        <f>SUM(U432:U446)</f>
        <v>220</v>
      </c>
      <c r="V447" s="8">
        <f>SUM(V432:V446)</f>
        <v>296.28999999999996</v>
      </c>
      <c r="W447" s="8">
        <f>SUM(W432:W446)</f>
        <v>1854</v>
      </c>
      <c r="Y447" s="216" t="s">
        <v>694</v>
      </c>
      <c r="Z447" s="203">
        <f>AVERAGE(Z434:Z445)</f>
        <v>16.854166666666668</v>
      </c>
      <c r="AA447" s="203">
        <f>AVERAGE(AA434:AA445)</f>
        <v>15.557569444444445</v>
      </c>
      <c r="AB447" s="203">
        <f>AVERAGE(AB434:AB445)</f>
        <v>127.049375</v>
      </c>
    </row>
    <row r="448" spans="1:28" x14ac:dyDescent="0.25">
      <c r="A448" s="72"/>
      <c r="B448" s="72"/>
      <c r="C448" s="7"/>
      <c r="D448" s="7"/>
      <c r="E448" s="7"/>
      <c r="G448" s="72"/>
      <c r="H448" s="72"/>
      <c r="I448" s="7"/>
      <c r="J448" s="7"/>
      <c r="K448" s="7"/>
      <c r="M448" s="72"/>
      <c r="N448" s="72"/>
      <c r="O448" s="7"/>
      <c r="P448" s="7"/>
      <c r="Q448" s="7"/>
      <c r="S448" s="72"/>
      <c r="T448" s="72"/>
      <c r="U448" s="7"/>
      <c r="V448" s="7"/>
      <c r="W448" s="7"/>
    </row>
    <row r="449" spans="1:28" x14ac:dyDescent="0.25">
      <c r="A449" s="72"/>
      <c r="B449" s="6" t="s">
        <v>477</v>
      </c>
      <c r="C449" s="131">
        <f>SUM(C434:C438)</f>
        <v>99</v>
      </c>
      <c r="D449" s="93">
        <f>SUM(D434:D441)</f>
        <v>98.57</v>
      </c>
      <c r="E449" s="93">
        <f>SUM(E434:E438)</f>
        <v>786.9899999999999</v>
      </c>
      <c r="G449" s="72"/>
      <c r="H449" s="6" t="s">
        <v>477</v>
      </c>
      <c r="I449" s="131">
        <f>SUM(I434:I438)</f>
        <v>99</v>
      </c>
      <c r="J449" s="93">
        <f>SUM(J434:J438)</f>
        <v>132.57</v>
      </c>
      <c r="K449" s="93">
        <f>SUM(K434:K438)</f>
        <v>821.42000000000007</v>
      </c>
      <c r="M449" s="72"/>
      <c r="N449" s="6" t="s">
        <v>477</v>
      </c>
      <c r="O449" s="131">
        <f>SUM(O434:O438)</f>
        <v>100</v>
      </c>
      <c r="P449" s="131">
        <f>SUM(P434:P438)</f>
        <v>120.57000000000001</v>
      </c>
      <c r="Q449" s="131">
        <f>SUM(Q434:Q438)</f>
        <v>844.84999999999991</v>
      </c>
      <c r="S449" s="72"/>
      <c r="T449" s="6" t="s">
        <v>477</v>
      </c>
      <c r="U449" s="131">
        <f>SUM(U434:U438)</f>
        <v>102</v>
      </c>
      <c r="V449" s="131">
        <f>SUM(V434:V438)</f>
        <v>151.85</v>
      </c>
      <c r="W449" s="131">
        <f>SUM(W434:W438)</f>
        <v>898.29</v>
      </c>
    </row>
    <row r="450" spans="1:28" x14ac:dyDescent="0.25">
      <c r="A450" s="68"/>
      <c r="B450" s="6" t="s">
        <v>479</v>
      </c>
      <c r="C450" s="93">
        <f>SUM(C439:C445)</f>
        <v>114</v>
      </c>
      <c r="D450" s="95">
        <f t="shared" ref="D450:E450" si="179">SUM(D439:D445)</f>
        <v>49.14</v>
      </c>
      <c r="E450" s="95">
        <f t="shared" si="179"/>
        <v>739.7</v>
      </c>
      <c r="G450" s="68"/>
      <c r="H450" s="6" t="s">
        <v>479</v>
      </c>
      <c r="I450" s="93">
        <f>SUM(I439:I445)</f>
        <v>104</v>
      </c>
      <c r="J450" s="93">
        <f>SUM(J439:J445)</f>
        <v>58</v>
      </c>
      <c r="K450" s="95">
        <f>SUM(K439:K445)</f>
        <v>706.13</v>
      </c>
      <c r="M450" s="68"/>
      <c r="N450" s="6" t="s">
        <v>479</v>
      </c>
      <c r="O450" s="93">
        <f>SUM(O439:O445)</f>
        <v>101</v>
      </c>
      <c r="P450" s="93">
        <f t="shared" ref="P450:Q450" si="180">SUM(P439:P445)</f>
        <v>61.44</v>
      </c>
      <c r="Q450" s="93">
        <f t="shared" si="180"/>
        <v>657.14</v>
      </c>
      <c r="S450" s="68"/>
      <c r="T450" s="6" t="s">
        <v>479</v>
      </c>
      <c r="U450" s="93">
        <f>SUM(U439:U445)</f>
        <v>89</v>
      </c>
      <c r="V450" s="93">
        <f t="shared" ref="V450:W450" si="181">SUM(V439:V445)</f>
        <v>76.86</v>
      </c>
      <c r="W450" s="93">
        <f t="shared" si="181"/>
        <v>643.85</v>
      </c>
    </row>
    <row r="451" spans="1:28" ht="30" x14ac:dyDescent="0.25">
      <c r="A451" s="68" t="s">
        <v>1355</v>
      </c>
      <c r="B451" s="6"/>
      <c r="C451" s="66">
        <v>14</v>
      </c>
      <c r="D451" s="66">
        <v>30</v>
      </c>
      <c r="E451" s="224">
        <f>SUM(D447/(D451+C451))</f>
        <v>4.1329545454545444</v>
      </c>
      <c r="G451" s="68" t="s">
        <v>50</v>
      </c>
      <c r="H451" s="6"/>
      <c r="I451" s="66">
        <v>20</v>
      </c>
      <c r="J451" s="66">
        <v>30</v>
      </c>
      <c r="K451" s="224">
        <f>SUM(J447/(J451+I451))</f>
        <v>5.0743999999999998</v>
      </c>
      <c r="M451" s="68" t="s">
        <v>50</v>
      </c>
      <c r="N451" s="6"/>
      <c r="O451" s="66">
        <v>11</v>
      </c>
      <c r="P451" s="66">
        <v>32</v>
      </c>
      <c r="Q451" s="224">
        <f>SUM(P447/(O451+P451))</f>
        <v>4.7944186046511623</v>
      </c>
      <c r="S451" s="68" t="s">
        <v>50</v>
      </c>
      <c r="T451" s="6"/>
      <c r="U451" s="66">
        <v>13</v>
      </c>
      <c r="V451" s="66">
        <v>29</v>
      </c>
      <c r="W451" s="224">
        <f>SUM(V447/(U451+V451))</f>
        <v>7.0545238095238085</v>
      </c>
    </row>
    <row r="452" spans="1:28" x14ac:dyDescent="0.25">
      <c r="A452" s="72" t="s">
        <v>41</v>
      </c>
      <c r="B452" s="6"/>
      <c r="C452" s="8" t="s">
        <v>1364</v>
      </c>
      <c r="D452" s="8" t="s">
        <v>1365</v>
      </c>
      <c r="E452" s="8"/>
      <c r="G452" s="72" t="s">
        <v>41</v>
      </c>
      <c r="H452" s="6"/>
      <c r="I452" s="8" t="s">
        <v>1364</v>
      </c>
      <c r="J452" s="8" t="s">
        <v>1365</v>
      </c>
      <c r="K452" s="8"/>
      <c r="M452" s="72" t="s">
        <v>41</v>
      </c>
      <c r="N452" s="6"/>
      <c r="O452" s="8" t="s">
        <v>1364</v>
      </c>
      <c r="P452" s="8" t="s">
        <v>1365</v>
      </c>
      <c r="Q452" s="8"/>
      <c r="S452" s="72" t="s">
        <v>41</v>
      </c>
      <c r="T452" s="6"/>
      <c r="U452" s="8" t="s">
        <v>1364</v>
      </c>
      <c r="V452" s="8" t="s">
        <v>1365</v>
      </c>
      <c r="W452" s="8"/>
    </row>
    <row r="453" spans="1:28" x14ac:dyDescent="0.25">
      <c r="C453" s="12" t="e">
        <f>#REF!-#REF!</f>
        <v>#REF!</v>
      </c>
      <c r="D453" s="12" t="e">
        <f>#REF!-#REF!</f>
        <v>#REF!</v>
      </c>
      <c r="E453" s="12" t="e">
        <f>#REF!-#REF!</f>
        <v>#REF!</v>
      </c>
      <c r="I453" s="12" t="e">
        <f>#REF!-#REF!</f>
        <v>#REF!</v>
      </c>
      <c r="J453" s="12" t="e">
        <f>#REF!-#REF!</f>
        <v>#REF!</v>
      </c>
      <c r="K453" s="12" t="e">
        <f>#REF!-#REF!</f>
        <v>#REF!</v>
      </c>
      <c r="O453" s="12" t="e">
        <f>#REF!-#REF!</f>
        <v>#REF!</v>
      </c>
      <c r="P453" s="12" t="e">
        <f>#REF!-#REF!</f>
        <v>#REF!</v>
      </c>
      <c r="Q453" s="12" t="e">
        <f>#REF!-#REF!</f>
        <v>#REF!</v>
      </c>
      <c r="U453" s="12" t="e">
        <f>#REF!-#REF!</f>
        <v>#REF!</v>
      </c>
      <c r="V453" s="12" t="e">
        <f>#REF!-#REF!</f>
        <v>#REF!</v>
      </c>
      <c r="W453" s="12" t="e">
        <f>#REF!-#REF!</f>
        <v>#REF!</v>
      </c>
    </row>
    <row r="455" spans="1:28" ht="18.75" x14ac:dyDescent="0.3">
      <c r="A455" s="69" t="s">
        <v>1457</v>
      </c>
      <c r="B455" s="4"/>
      <c r="C455" s="10"/>
      <c r="D455" s="10"/>
      <c r="E455" s="10"/>
      <c r="G455" s="69" t="s">
        <v>1458</v>
      </c>
      <c r="H455" s="4"/>
      <c r="I455" s="10"/>
      <c r="J455" s="10"/>
      <c r="K455" s="10"/>
      <c r="M455" s="69" t="s">
        <v>1459</v>
      </c>
      <c r="N455" s="4"/>
      <c r="O455" s="10"/>
      <c r="P455" s="10"/>
      <c r="Q455" s="10"/>
      <c r="S455" s="69" t="s">
        <v>1460</v>
      </c>
      <c r="T455" s="4"/>
      <c r="U455" s="10"/>
      <c r="V455" s="10"/>
      <c r="W455" s="10"/>
      <c r="Y455" s="6" t="s">
        <v>1461</v>
      </c>
    </row>
    <row r="456" spans="1:28" ht="45" x14ac:dyDescent="0.25">
      <c r="A456" s="70"/>
      <c r="B456" s="70"/>
      <c r="C456" s="71" t="s">
        <v>26</v>
      </c>
      <c r="D456" s="71" t="s">
        <v>27</v>
      </c>
      <c r="E456" s="71" t="s">
        <v>28</v>
      </c>
      <c r="G456" s="70"/>
      <c r="H456" s="70"/>
      <c r="I456" s="71" t="s">
        <v>26</v>
      </c>
      <c r="J456" s="71" t="s">
        <v>27</v>
      </c>
      <c r="K456" s="71" t="s">
        <v>28</v>
      </c>
      <c r="M456" s="70"/>
      <c r="N456" s="70"/>
      <c r="O456" s="71" t="s">
        <v>26</v>
      </c>
      <c r="P456" s="71" t="s">
        <v>27</v>
      </c>
      <c r="Q456" s="71" t="s">
        <v>28</v>
      </c>
      <c r="S456" s="70"/>
      <c r="T456" s="70"/>
      <c r="U456" s="71" t="s">
        <v>26</v>
      </c>
      <c r="V456" s="71" t="s">
        <v>27</v>
      </c>
      <c r="W456" s="71" t="s">
        <v>28</v>
      </c>
      <c r="Y456" s="124" t="s">
        <v>685</v>
      </c>
      <c r="Z456" s="71" t="s">
        <v>26</v>
      </c>
      <c r="AA456" s="71" t="s">
        <v>27</v>
      </c>
      <c r="AB456" s="71" t="s">
        <v>28</v>
      </c>
    </row>
    <row r="457" spans="1:28" x14ac:dyDescent="0.25">
      <c r="A457" s="90" t="s">
        <v>29</v>
      </c>
      <c r="B457" s="90"/>
      <c r="C457" s="91">
        <v>19</v>
      </c>
      <c r="D457" s="91">
        <v>22.14</v>
      </c>
      <c r="E457" s="91">
        <v>166.86</v>
      </c>
      <c r="G457" s="90" t="s">
        <v>29</v>
      </c>
      <c r="H457" s="90"/>
      <c r="I457" s="91"/>
      <c r="J457" s="91"/>
      <c r="K457" s="91"/>
      <c r="M457" s="90" t="s">
        <v>1284</v>
      </c>
      <c r="N457" s="90"/>
      <c r="O457" s="91"/>
      <c r="P457" s="91"/>
      <c r="Q457" s="91"/>
      <c r="S457" s="90" t="s">
        <v>29</v>
      </c>
      <c r="T457" s="90"/>
      <c r="U457" s="91"/>
      <c r="V457" s="91"/>
      <c r="W457" s="91"/>
      <c r="Y457" s="90" t="s">
        <v>29</v>
      </c>
      <c r="Z457" s="90">
        <f>AVERAGE(O457,I457,C457,U457)</f>
        <v>19</v>
      </c>
      <c r="AA457" s="90">
        <f>AVERAGE(P457,J457,D457,V457)</f>
        <v>22.14</v>
      </c>
      <c r="AB457" s="90">
        <f>AVERAGE(Q457,K457,E457,W457)</f>
        <v>166.86</v>
      </c>
    </row>
    <row r="458" spans="1:28" x14ac:dyDescent="0.25">
      <c r="A458" s="90" t="s">
        <v>35</v>
      </c>
      <c r="B458" s="90"/>
      <c r="C458" s="91">
        <v>20</v>
      </c>
      <c r="D458" s="91">
        <v>26.71</v>
      </c>
      <c r="E458" s="91">
        <v>278.14</v>
      </c>
      <c r="G458" s="90" t="s">
        <v>35</v>
      </c>
      <c r="H458" s="90"/>
      <c r="I458" s="91"/>
      <c r="J458" s="91"/>
      <c r="K458" s="91"/>
      <c r="M458" s="90" t="s">
        <v>1286</v>
      </c>
      <c r="N458" s="90"/>
      <c r="O458" s="91"/>
      <c r="P458" s="91"/>
      <c r="Q458" s="91"/>
      <c r="S458" s="90" t="s">
        <v>35</v>
      </c>
      <c r="T458" s="90"/>
      <c r="U458" s="91"/>
      <c r="V458" s="91"/>
      <c r="W458" s="91"/>
      <c r="Y458" s="90" t="s">
        <v>35</v>
      </c>
      <c r="Z458" s="90">
        <f t="shared" ref="Z458" si="182">AVERAGE(O458,I458,C458,U458)</f>
        <v>20</v>
      </c>
      <c r="AA458" s="90">
        <f t="shared" ref="AA458:AA468" si="183">AVERAGE(P458,J458,D458,V458)</f>
        <v>26.71</v>
      </c>
      <c r="AB458" s="90">
        <f t="shared" ref="AB458:AB468" si="184">AVERAGE(Q458,K458,E458,W458)</f>
        <v>278.14</v>
      </c>
    </row>
    <row r="459" spans="1:28" x14ac:dyDescent="0.25">
      <c r="A459" s="90" t="s">
        <v>32</v>
      </c>
      <c r="B459" s="90"/>
      <c r="C459" s="91">
        <v>26</v>
      </c>
      <c r="D459" s="91">
        <v>23.71</v>
      </c>
      <c r="E459" s="91">
        <v>186.14</v>
      </c>
      <c r="G459" s="90" t="s">
        <v>32</v>
      </c>
      <c r="H459" s="90"/>
      <c r="I459" s="91"/>
      <c r="J459" s="91"/>
      <c r="K459" s="91"/>
      <c r="M459" s="90" t="s">
        <v>32</v>
      </c>
      <c r="N459" s="90"/>
      <c r="O459" s="91"/>
      <c r="P459" s="91"/>
      <c r="Q459" s="91"/>
      <c r="S459" s="90" t="s">
        <v>32</v>
      </c>
      <c r="T459" s="90"/>
      <c r="U459" s="91"/>
      <c r="V459" s="91"/>
      <c r="W459" s="91"/>
      <c r="Y459" s="90" t="s">
        <v>32</v>
      </c>
      <c r="Z459" s="90">
        <f>AVERAGE(O459,I459,C459,U459)</f>
        <v>26</v>
      </c>
      <c r="AA459" s="90">
        <f t="shared" si="183"/>
        <v>23.71</v>
      </c>
      <c r="AB459" s="90">
        <f t="shared" si="184"/>
        <v>186.14</v>
      </c>
    </row>
    <row r="460" spans="1:28" x14ac:dyDescent="0.25">
      <c r="A460" s="14" t="s">
        <v>11</v>
      </c>
      <c r="B460" s="14"/>
      <c r="C460" s="130">
        <v>14</v>
      </c>
      <c r="D460" s="130">
        <v>0</v>
      </c>
      <c r="E460" s="130">
        <v>66.86</v>
      </c>
      <c r="F460" s="16"/>
      <c r="G460" s="14" t="s">
        <v>11</v>
      </c>
      <c r="H460" s="14"/>
      <c r="I460" s="130"/>
      <c r="J460" s="130"/>
      <c r="K460" s="130"/>
      <c r="L460" s="16"/>
      <c r="M460" s="14" t="s">
        <v>1285</v>
      </c>
      <c r="N460" s="14"/>
      <c r="O460" s="130"/>
      <c r="P460" s="130"/>
      <c r="Q460" s="130"/>
      <c r="R460" s="16"/>
      <c r="S460" s="14" t="s">
        <v>11</v>
      </c>
      <c r="T460" s="14"/>
      <c r="U460" s="130"/>
      <c r="V460" s="130"/>
      <c r="W460" s="130"/>
      <c r="X460" s="16"/>
      <c r="Y460" s="14" t="s">
        <v>11</v>
      </c>
      <c r="Z460" s="232">
        <f>AVERAGE(O460,I460,C460,U460)</f>
        <v>14</v>
      </c>
      <c r="AA460" s="232">
        <f t="shared" si="183"/>
        <v>0</v>
      </c>
      <c r="AB460" s="232">
        <f t="shared" si="184"/>
        <v>66.86</v>
      </c>
    </row>
    <row r="461" spans="1:28" x14ac:dyDescent="0.25">
      <c r="A461" s="90" t="s">
        <v>48</v>
      </c>
      <c r="B461" s="90"/>
      <c r="C461" s="91">
        <v>24</v>
      </c>
      <c r="D461" s="91">
        <v>17</v>
      </c>
      <c r="E461" s="91">
        <v>190.14</v>
      </c>
      <c r="G461" s="90" t="s">
        <v>48</v>
      </c>
      <c r="H461" s="90"/>
      <c r="I461" s="91"/>
      <c r="J461" s="91"/>
      <c r="K461" s="91"/>
      <c r="M461" s="90" t="s">
        <v>48</v>
      </c>
      <c r="N461" s="90"/>
      <c r="O461" s="91"/>
      <c r="P461" s="91"/>
      <c r="Q461" s="91"/>
      <c r="S461" s="90" t="s">
        <v>48</v>
      </c>
      <c r="T461" s="90"/>
      <c r="U461" s="91"/>
      <c r="V461" s="91"/>
      <c r="W461" s="91"/>
      <c r="Y461" s="90" t="s">
        <v>48</v>
      </c>
      <c r="Z461" s="90">
        <f t="shared" ref="Z461:Z468" si="185">AVERAGE(O461,I461,C461,U461)</f>
        <v>24</v>
      </c>
      <c r="AA461" s="90">
        <f t="shared" si="183"/>
        <v>17</v>
      </c>
      <c r="AB461" s="90">
        <f t="shared" si="184"/>
        <v>190.14</v>
      </c>
    </row>
    <row r="462" spans="1:28" x14ac:dyDescent="0.25">
      <c r="A462" s="90" t="s">
        <v>1440</v>
      </c>
      <c r="B462" s="90"/>
      <c r="C462" s="91">
        <v>0</v>
      </c>
      <c r="D462" s="91">
        <v>0</v>
      </c>
      <c r="E462" s="91">
        <v>8.86</v>
      </c>
      <c r="F462" s="16"/>
      <c r="G462" s="90" t="s">
        <v>1440</v>
      </c>
      <c r="H462" s="90"/>
      <c r="I462" s="91"/>
      <c r="J462" s="91"/>
      <c r="K462" s="91"/>
      <c r="L462" s="16"/>
      <c r="M462" s="90" t="s">
        <v>1440</v>
      </c>
      <c r="N462" s="90"/>
      <c r="O462" s="91"/>
      <c r="P462" s="91"/>
      <c r="Q462" s="91"/>
      <c r="R462" s="16"/>
      <c r="S462" s="90" t="s">
        <v>1440</v>
      </c>
      <c r="T462" s="90"/>
      <c r="U462" s="91"/>
      <c r="V462" s="91"/>
      <c r="W462" s="91"/>
      <c r="X462" s="16"/>
      <c r="Y462" s="90" t="s">
        <v>1440</v>
      </c>
      <c r="Z462" s="201">
        <f t="shared" si="185"/>
        <v>0</v>
      </c>
      <c r="AA462" s="201">
        <f t="shared" si="183"/>
        <v>0</v>
      </c>
      <c r="AB462" s="201">
        <f t="shared" si="184"/>
        <v>8.86</v>
      </c>
    </row>
    <row r="463" spans="1:28" x14ac:dyDescent="0.25">
      <c r="A463" s="14" t="s">
        <v>481</v>
      </c>
      <c r="B463" s="14"/>
      <c r="C463" s="130">
        <v>1</v>
      </c>
      <c r="D463" s="130">
        <v>0</v>
      </c>
      <c r="E463" s="130">
        <v>3.71</v>
      </c>
      <c r="G463" s="14" t="s">
        <v>481</v>
      </c>
      <c r="H463" s="14"/>
      <c r="I463" s="130"/>
      <c r="J463" s="130"/>
      <c r="K463" s="130"/>
      <c r="M463" s="14" t="s">
        <v>481</v>
      </c>
      <c r="N463" s="14"/>
      <c r="O463" s="130"/>
      <c r="P463" s="130"/>
      <c r="Q463" s="130"/>
      <c r="S463" s="14" t="s">
        <v>481</v>
      </c>
      <c r="T463" s="14"/>
      <c r="U463" s="130"/>
      <c r="V463" s="130"/>
      <c r="W463" s="130"/>
      <c r="Y463" s="14" t="s">
        <v>690</v>
      </c>
      <c r="Z463" s="232">
        <f t="shared" si="185"/>
        <v>1</v>
      </c>
      <c r="AA463" s="232">
        <f t="shared" si="183"/>
        <v>0</v>
      </c>
      <c r="AB463" s="232">
        <f t="shared" si="184"/>
        <v>3.71</v>
      </c>
    </row>
    <row r="464" spans="1:28" x14ac:dyDescent="0.25">
      <c r="A464" s="14" t="s">
        <v>37</v>
      </c>
      <c r="B464" s="14"/>
      <c r="C464" s="130">
        <v>10</v>
      </c>
      <c r="D464" s="130">
        <v>0</v>
      </c>
      <c r="E464" s="130">
        <v>45.14</v>
      </c>
      <c r="F464" s="16"/>
      <c r="G464" s="14" t="s">
        <v>37</v>
      </c>
      <c r="H464" s="14"/>
      <c r="I464" s="130"/>
      <c r="J464" s="130"/>
      <c r="K464" s="130"/>
      <c r="L464" s="16"/>
      <c r="M464" s="14" t="s">
        <v>37</v>
      </c>
      <c r="N464" s="14"/>
      <c r="O464" s="130"/>
      <c r="P464" s="130"/>
      <c r="Q464" s="130"/>
      <c r="R464" s="16"/>
      <c r="S464" s="14" t="s">
        <v>37</v>
      </c>
      <c r="T464" s="14"/>
      <c r="U464" s="130"/>
      <c r="V464" s="130"/>
      <c r="W464" s="130"/>
      <c r="X464" s="16"/>
      <c r="Y464" s="14" t="s">
        <v>37</v>
      </c>
      <c r="Z464" s="232">
        <f t="shared" si="185"/>
        <v>10</v>
      </c>
      <c r="AA464" s="232">
        <f t="shared" si="183"/>
        <v>0</v>
      </c>
      <c r="AB464" s="232">
        <f t="shared" si="184"/>
        <v>45.14</v>
      </c>
    </row>
    <row r="465" spans="1:28" x14ac:dyDescent="0.25">
      <c r="A465" s="14" t="s">
        <v>9</v>
      </c>
      <c r="B465" s="14"/>
      <c r="C465" s="130">
        <v>12</v>
      </c>
      <c r="D465" s="130">
        <v>0</v>
      </c>
      <c r="E465" s="130">
        <v>32.57</v>
      </c>
      <c r="F465" s="16"/>
      <c r="G465" s="14" t="s">
        <v>9</v>
      </c>
      <c r="H465" s="14"/>
      <c r="I465" s="130"/>
      <c r="J465" s="130"/>
      <c r="K465" s="130"/>
      <c r="L465" s="16"/>
      <c r="M465" s="14" t="s">
        <v>9</v>
      </c>
      <c r="N465" s="14"/>
      <c r="O465" s="130"/>
      <c r="P465" s="130"/>
      <c r="Q465" s="130"/>
      <c r="R465" s="16"/>
      <c r="S465" s="14" t="s">
        <v>9</v>
      </c>
      <c r="T465" s="14"/>
      <c r="U465" s="130"/>
      <c r="V465" s="130"/>
      <c r="W465" s="130"/>
      <c r="X465" s="16"/>
      <c r="Y465" s="14" t="s">
        <v>9</v>
      </c>
      <c r="Z465" s="232">
        <f t="shared" si="185"/>
        <v>12</v>
      </c>
      <c r="AA465" s="232">
        <f t="shared" si="183"/>
        <v>0</v>
      </c>
      <c r="AB465" s="232">
        <f t="shared" si="184"/>
        <v>32.57</v>
      </c>
    </row>
    <row r="466" spans="1:28" x14ac:dyDescent="0.25">
      <c r="A466" s="90" t="s">
        <v>12</v>
      </c>
      <c r="B466" s="90"/>
      <c r="C466" s="90">
        <v>24</v>
      </c>
      <c r="D466" s="90">
        <v>16.71</v>
      </c>
      <c r="E466" s="90">
        <v>240</v>
      </c>
      <c r="G466" s="90" t="s">
        <v>12</v>
      </c>
      <c r="H466" s="90"/>
      <c r="I466" s="90"/>
      <c r="J466" s="90"/>
      <c r="K466" s="90"/>
      <c r="M466" s="90" t="s">
        <v>12</v>
      </c>
      <c r="N466" s="90"/>
      <c r="O466" s="90"/>
      <c r="P466" s="90"/>
      <c r="Q466" s="90"/>
      <c r="S466" s="90" t="s">
        <v>12</v>
      </c>
      <c r="T466" s="90"/>
      <c r="U466" s="90"/>
      <c r="V466" s="90"/>
      <c r="W466" s="90"/>
      <c r="Y466" s="90" t="s">
        <v>12</v>
      </c>
      <c r="Z466" s="90">
        <f t="shared" si="185"/>
        <v>24</v>
      </c>
      <c r="AA466" s="90">
        <f t="shared" si="183"/>
        <v>16.71</v>
      </c>
      <c r="AB466" s="90">
        <f t="shared" si="184"/>
        <v>240</v>
      </c>
    </row>
    <row r="467" spans="1:28" x14ac:dyDescent="0.25">
      <c r="A467" s="14" t="s">
        <v>10</v>
      </c>
      <c r="B467" s="14"/>
      <c r="C467" s="130">
        <v>11</v>
      </c>
      <c r="D467" s="130">
        <v>0</v>
      </c>
      <c r="E467" s="130">
        <v>57.86</v>
      </c>
      <c r="F467" s="16"/>
      <c r="G467" s="14" t="s">
        <v>10</v>
      </c>
      <c r="H467" s="14"/>
      <c r="I467" s="130"/>
      <c r="J467" s="130"/>
      <c r="K467" s="130"/>
      <c r="L467" s="16"/>
      <c r="M467" s="14" t="s">
        <v>10</v>
      </c>
      <c r="N467" s="14"/>
      <c r="O467" s="130"/>
      <c r="P467" s="130"/>
      <c r="Q467" s="130"/>
      <c r="R467" s="16"/>
      <c r="S467" s="14" t="s">
        <v>10</v>
      </c>
      <c r="T467" s="14"/>
      <c r="U467" s="130"/>
      <c r="V467" s="130"/>
      <c r="W467" s="130"/>
      <c r="X467" s="16"/>
      <c r="Y467" s="14" t="s">
        <v>10</v>
      </c>
      <c r="Z467" s="232">
        <f t="shared" si="185"/>
        <v>11</v>
      </c>
      <c r="AA467" s="232">
        <f t="shared" si="183"/>
        <v>0</v>
      </c>
      <c r="AB467" s="232">
        <f t="shared" si="184"/>
        <v>57.86</v>
      </c>
    </row>
    <row r="468" spans="1:28" x14ac:dyDescent="0.25">
      <c r="A468" s="90" t="s">
        <v>672</v>
      </c>
      <c r="B468" s="90"/>
      <c r="C468" s="90">
        <v>28</v>
      </c>
      <c r="D468" s="90">
        <v>41.14</v>
      </c>
      <c r="E468" s="90">
        <v>227.29</v>
      </c>
      <c r="G468" s="90" t="s">
        <v>672</v>
      </c>
      <c r="H468" s="90"/>
      <c r="I468" s="90"/>
      <c r="J468" s="90"/>
      <c r="K468" s="90"/>
      <c r="M468" s="90" t="s">
        <v>672</v>
      </c>
      <c r="N468" s="90"/>
      <c r="O468" s="90"/>
      <c r="P468" s="90"/>
      <c r="Q468" s="90"/>
      <c r="S468" s="90" t="s">
        <v>672</v>
      </c>
      <c r="T468" s="90"/>
      <c r="U468" s="90"/>
      <c r="V468" s="90"/>
      <c r="W468" s="90"/>
      <c r="Y468" s="90" t="s">
        <v>672</v>
      </c>
      <c r="Z468" s="90">
        <f t="shared" si="185"/>
        <v>28</v>
      </c>
      <c r="AA468" s="90">
        <f t="shared" si="183"/>
        <v>41.14</v>
      </c>
      <c r="AB468" s="90">
        <f t="shared" si="184"/>
        <v>227.29</v>
      </c>
    </row>
    <row r="469" spans="1:28" x14ac:dyDescent="0.25">
      <c r="A469" s="90" t="s">
        <v>84</v>
      </c>
      <c r="B469" s="90"/>
      <c r="C469" s="90">
        <v>31</v>
      </c>
      <c r="D469" s="90">
        <v>30.42</v>
      </c>
      <c r="E469" s="90">
        <v>312.57</v>
      </c>
      <c r="G469" s="90" t="s">
        <v>84</v>
      </c>
      <c r="H469" s="90"/>
      <c r="I469" s="90"/>
      <c r="J469" s="90"/>
      <c r="K469" s="90"/>
      <c r="M469" s="90" t="s">
        <v>84</v>
      </c>
      <c r="N469" s="90"/>
      <c r="O469" s="90"/>
      <c r="P469" s="90"/>
      <c r="Q469" s="90"/>
      <c r="S469" s="90" t="s">
        <v>84</v>
      </c>
      <c r="T469" s="90"/>
      <c r="U469" s="90"/>
      <c r="V469" s="90"/>
      <c r="W469" s="90"/>
      <c r="Y469" s="90" t="s">
        <v>84</v>
      </c>
      <c r="Z469" s="90">
        <f>AVERAGE(O469,I469,C469,U469)</f>
        <v>31</v>
      </c>
      <c r="AA469" s="90">
        <f>AVERAGE(P469,J469,D469,V469)</f>
        <v>30.42</v>
      </c>
      <c r="AB469" s="90">
        <f>AVERAGE(Q469,K469,E469,W469)</f>
        <v>312.57</v>
      </c>
    </row>
    <row r="470" spans="1:28" x14ac:dyDescent="0.25">
      <c r="A470" s="72" t="s">
        <v>39</v>
      </c>
      <c r="B470" s="72"/>
      <c r="C470" s="8">
        <f>SUM(C455:C469)</f>
        <v>220</v>
      </c>
      <c r="D470" s="8">
        <f>SUM(D457:D469)</f>
        <v>177.83000000000004</v>
      </c>
      <c r="E470" s="8">
        <f>SUM(E455:E469)</f>
        <v>1816.1399999999999</v>
      </c>
      <c r="G470" s="72" t="s">
        <v>39</v>
      </c>
      <c r="H470" s="72"/>
      <c r="I470" s="8">
        <f>SUM(I455:I469)</f>
        <v>0</v>
      </c>
      <c r="J470" s="8">
        <f>SUM(J455:J469)</f>
        <v>0</v>
      </c>
      <c r="K470" s="8">
        <f>SUM(K455:K469)</f>
        <v>0</v>
      </c>
      <c r="M470" s="72" t="s">
        <v>39</v>
      </c>
      <c r="N470" s="72"/>
      <c r="O470" s="8">
        <f>SUM(O455:O469)</f>
        <v>0</v>
      </c>
      <c r="P470" s="8">
        <f>SUM(P455:P469)</f>
        <v>0</v>
      </c>
      <c r="Q470" s="8">
        <f>SUM(Q455:Q469)</f>
        <v>0</v>
      </c>
      <c r="S470" s="72" t="s">
        <v>39</v>
      </c>
      <c r="T470" s="72"/>
      <c r="U470" s="8">
        <f>SUM(U455:U469)</f>
        <v>0</v>
      </c>
      <c r="V470" s="8">
        <f>SUM(V455:V469)</f>
        <v>0</v>
      </c>
      <c r="W470" s="8">
        <f>SUM(W455:W469)</f>
        <v>0</v>
      </c>
      <c r="Y470" s="216" t="s">
        <v>694</v>
      </c>
      <c r="Z470" s="203">
        <f>AVERAGE(Z457:Z468)</f>
        <v>15.75</v>
      </c>
      <c r="AA470" s="203">
        <f>AVERAGE(AA457:AA468)</f>
        <v>12.284166666666669</v>
      </c>
      <c r="AB470" s="203">
        <f>AVERAGE(AB457:AB468)</f>
        <v>125.2975</v>
      </c>
    </row>
    <row r="471" spans="1:28" x14ac:dyDescent="0.25">
      <c r="A471" s="72" t="s">
        <v>1465</v>
      </c>
      <c r="B471" s="72"/>
      <c r="C471" s="244">
        <f>AVERAGE(C457,C458,C459,C461,C466,C468,C469)</f>
        <v>24.571428571428573</v>
      </c>
      <c r="D471" s="244">
        <f>AVERAGE(D457,D458,D459,D461,D466,D468,D469)</f>
        <v>25.40428571428572</v>
      </c>
      <c r="E471" s="244">
        <f>AVERAGE(E457,E458,E459,E461,E466,E468,E469)</f>
        <v>228.7342857142857</v>
      </c>
      <c r="G471" s="72" t="s">
        <v>1465</v>
      </c>
      <c r="H471" s="72"/>
      <c r="I471" s="244" t="e">
        <f>AVERAGE(I457,I458,I459,I461,I466,I468,I469)</f>
        <v>#DIV/0!</v>
      </c>
      <c r="J471" s="244" t="e">
        <f t="shared" ref="J471:K471" si="186">AVERAGE(J457,J458,J459,J461,J466,J468,J469)</f>
        <v>#DIV/0!</v>
      </c>
      <c r="K471" s="244" t="e">
        <f t="shared" si="186"/>
        <v>#DIV/0!</v>
      </c>
      <c r="M471" s="72"/>
      <c r="N471" s="72"/>
      <c r="O471" s="7"/>
      <c r="P471" s="7"/>
      <c r="Q471" s="7"/>
      <c r="S471" s="72"/>
      <c r="T471" s="72"/>
      <c r="U471" s="7"/>
      <c r="V471" s="7"/>
      <c r="W471" s="7"/>
    </row>
    <row r="472" spans="1:28" x14ac:dyDescent="0.25">
      <c r="A472" s="72"/>
      <c r="B472" s="6" t="s">
        <v>477</v>
      </c>
      <c r="C472" s="131">
        <f>SUM(C457:C461)</f>
        <v>103</v>
      </c>
      <c r="D472" s="93">
        <f>SUM(D457:D464)</f>
        <v>89.56</v>
      </c>
      <c r="E472" s="93">
        <f>SUM(E457:E461)</f>
        <v>888.14</v>
      </c>
      <c r="G472" s="72"/>
      <c r="H472" s="6" t="s">
        <v>477</v>
      </c>
      <c r="I472" s="131">
        <f>SUM(I457:I461)</f>
        <v>0</v>
      </c>
      <c r="J472" s="93">
        <f>SUM(J457:J461)</f>
        <v>0</v>
      </c>
      <c r="K472" s="93">
        <f>SUM(K457:K461)</f>
        <v>0</v>
      </c>
      <c r="M472" s="72"/>
      <c r="N472" s="6" t="s">
        <v>477</v>
      </c>
      <c r="O472" s="131">
        <f>SUM(O457:O461)</f>
        <v>0</v>
      </c>
      <c r="P472" s="131">
        <f>SUM(P457:P461)</f>
        <v>0</v>
      </c>
      <c r="Q472" s="131">
        <f>SUM(Q457:Q461)</f>
        <v>0</v>
      </c>
      <c r="S472" s="72"/>
      <c r="T472" s="6" t="s">
        <v>477</v>
      </c>
      <c r="U472" s="131">
        <f>SUM(U457:U461)</f>
        <v>0</v>
      </c>
      <c r="V472" s="131">
        <f>SUM(V457:V461)</f>
        <v>0</v>
      </c>
      <c r="W472" s="131">
        <f>SUM(W457:W461)</f>
        <v>0</v>
      </c>
    </row>
    <row r="473" spans="1:28" x14ac:dyDescent="0.25">
      <c r="A473" s="68"/>
      <c r="B473" s="6" t="s">
        <v>479</v>
      </c>
      <c r="C473" s="93">
        <f>SUM(C462:C468)</f>
        <v>86</v>
      </c>
      <c r="D473" s="95">
        <f t="shared" ref="D473:E473" si="187">SUM(D462:D468)</f>
        <v>57.85</v>
      </c>
      <c r="E473" s="95">
        <f t="shared" si="187"/>
        <v>615.42999999999995</v>
      </c>
      <c r="G473" s="68"/>
      <c r="H473" s="6" t="s">
        <v>479</v>
      </c>
      <c r="I473" s="93">
        <f>SUM(I462:I468)</f>
        <v>0</v>
      </c>
      <c r="J473" s="93">
        <f>SUM(J462:J468)</f>
        <v>0</v>
      </c>
      <c r="K473" s="95">
        <f>SUM(K462:K468)</f>
        <v>0</v>
      </c>
      <c r="M473" s="68"/>
      <c r="N473" s="6" t="s">
        <v>479</v>
      </c>
      <c r="O473" s="93">
        <f>SUM(O462:O468)</f>
        <v>0</v>
      </c>
      <c r="P473" s="93">
        <f t="shared" ref="P473:Q473" si="188">SUM(P462:P468)</f>
        <v>0</v>
      </c>
      <c r="Q473" s="93">
        <f t="shared" si="188"/>
        <v>0</v>
      </c>
      <c r="S473" s="68"/>
      <c r="T473" s="6" t="s">
        <v>479</v>
      </c>
      <c r="U473" s="93">
        <f>SUM(U462:U468)</f>
        <v>0</v>
      </c>
      <c r="V473" s="93">
        <f t="shared" ref="V473:W473" si="189">SUM(V462:V468)</f>
        <v>0</v>
      </c>
      <c r="W473" s="93">
        <f t="shared" si="189"/>
        <v>0</v>
      </c>
    </row>
    <row r="474" spans="1:28" ht="30" x14ac:dyDescent="0.25">
      <c r="A474" s="68" t="s">
        <v>1355</v>
      </c>
      <c r="B474" s="6"/>
      <c r="C474" s="66">
        <v>9</v>
      </c>
      <c r="D474" s="66">
        <v>30</v>
      </c>
      <c r="E474" s="224">
        <f>SUM(D470/(D474+C474))</f>
        <v>4.559743589743591</v>
      </c>
      <c r="G474" s="68" t="s">
        <v>50</v>
      </c>
      <c r="H474" s="6"/>
      <c r="I474" s="66"/>
      <c r="J474" s="66"/>
      <c r="K474" s="224" t="e">
        <f>SUM(J470/(J474+I474))</f>
        <v>#DIV/0!</v>
      </c>
      <c r="M474" s="68" t="s">
        <v>50</v>
      </c>
      <c r="N474" s="6"/>
      <c r="O474" s="66">
        <v>11</v>
      </c>
      <c r="P474" s="66">
        <v>32</v>
      </c>
      <c r="Q474" s="224">
        <f>SUM(P470/(O474+P474))</f>
        <v>0</v>
      </c>
      <c r="S474" s="68" t="s">
        <v>50</v>
      </c>
      <c r="T474" s="6"/>
      <c r="U474" s="66"/>
      <c r="V474" s="66"/>
      <c r="W474" s="224" t="e">
        <f>SUM(V470/V474)</f>
        <v>#DIV/0!</v>
      </c>
    </row>
    <row r="475" spans="1:28" x14ac:dyDescent="0.25">
      <c r="A475" s="72" t="s">
        <v>41</v>
      </c>
      <c r="B475" s="6"/>
      <c r="C475" s="8" t="s">
        <v>1364</v>
      </c>
      <c r="D475" s="8" t="s">
        <v>1365</v>
      </c>
      <c r="E475" s="8"/>
      <c r="G475" s="72" t="s">
        <v>41</v>
      </c>
      <c r="H475" s="6"/>
      <c r="I475" s="8" t="s">
        <v>1364</v>
      </c>
      <c r="J475" s="8" t="s">
        <v>1365</v>
      </c>
      <c r="K475" s="8"/>
      <c r="M475" s="72" t="s">
        <v>41</v>
      </c>
      <c r="N475" s="6"/>
      <c r="O475" s="8" t="s">
        <v>1364</v>
      </c>
      <c r="P475" s="8" t="s">
        <v>1365</v>
      </c>
      <c r="Q475" s="8"/>
      <c r="S475" s="72" t="s">
        <v>41</v>
      </c>
      <c r="T475" s="6"/>
      <c r="U475" s="8" t="s">
        <v>1364</v>
      </c>
      <c r="V475" s="8" t="s">
        <v>1365</v>
      </c>
      <c r="W475" s="8"/>
    </row>
    <row r="476" spans="1:28" x14ac:dyDescent="0.25">
      <c r="C476" s="12" t="e">
        <f>#REF!-#REF!</f>
        <v>#REF!</v>
      </c>
      <c r="D476" s="12" t="e">
        <f>#REF!-#REF!</f>
        <v>#REF!</v>
      </c>
      <c r="E476" s="12" t="e">
        <f>#REF!-#REF!</f>
        <v>#REF!</v>
      </c>
      <c r="I476" s="12" t="e">
        <f>#REF!-#REF!</f>
        <v>#REF!</v>
      </c>
      <c r="J476" s="12" t="e">
        <f>#REF!-#REF!</f>
        <v>#REF!</v>
      </c>
      <c r="K476" s="12" t="e">
        <f>#REF!-#REF!</f>
        <v>#REF!</v>
      </c>
      <c r="O476" s="12" t="e">
        <f>#REF!-#REF!</f>
        <v>#REF!</v>
      </c>
      <c r="P476" s="12" t="e">
        <f>#REF!-#REF!</f>
        <v>#REF!</v>
      </c>
      <c r="Q476" s="12" t="e">
        <f>#REF!-#REF!</f>
        <v>#REF!</v>
      </c>
      <c r="U476" s="12" t="e">
        <f>#REF!-#REF!</f>
        <v>#REF!</v>
      </c>
      <c r="V476" s="12" t="e">
        <f>#REF!-#REF!</f>
        <v>#REF!</v>
      </c>
      <c r="W476" s="12" t="e">
        <f>#REF!-#REF!</f>
        <v>#REF!</v>
      </c>
    </row>
  </sheetData>
  <sortState xmlns:xlrd2="http://schemas.microsoft.com/office/spreadsheetml/2017/richdata2" ref="A3:E17">
    <sortCondition descending="1" ref="D1:D17"/>
  </sortState>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B1B8E-0271-400B-B8FD-AA22033AE37A}">
  <dimension ref="A1:CN105"/>
  <sheetViews>
    <sheetView tabSelected="1" topLeftCell="AU1" workbookViewId="0">
      <selection activeCell="CG21" sqref="CG21"/>
    </sheetView>
  </sheetViews>
  <sheetFormatPr defaultRowHeight="15" x14ac:dyDescent="0.25"/>
  <cols>
    <col min="1" max="1" width="11.140625" hidden="1" customWidth="1"/>
    <col min="2" max="2" width="11" hidden="1" customWidth="1"/>
    <col min="3" max="3" width="10.42578125" hidden="1" customWidth="1"/>
    <col min="4" max="4" width="13.28515625" hidden="1" customWidth="1"/>
    <col min="5" max="5" width="11.5703125" hidden="1" customWidth="1"/>
    <col min="6" max="6" width="11.28515625" hidden="1" customWidth="1"/>
    <col min="7" max="7" width="9.140625" hidden="1" customWidth="1"/>
    <col min="8" max="8" width="19.5703125" bestFit="1" customWidth="1"/>
    <col min="9" max="9" width="11.140625" hidden="1" customWidth="1"/>
    <col min="10" max="10" width="11" hidden="1" customWidth="1"/>
    <col min="11" max="11" width="10.42578125" hidden="1" customWidth="1"/>
    <col min="12" max="12" width="13.28515625" hidden="1" customWidth="1"/>
    <col min="13" max="13" width="12" hidden="1" customWidth="1"/>
    <col min="14" max="14" width="9.140625" hidden="1" customWidth="1"/>
    <col min="15" max="15" width="9.7109375" hidden="1" customWidth="1"/>
    <col min="16" max="16" width="21" customWidth="1"/>
    <col min="17" max="17" width="11.140625" hidden="1" customWidth="1"/>
    <col min="18" max="18" width="11" hidden="1" customWidth="1"/>
    <col min="19" max="19" width="10.42578125" hidden="1" customWidth="1"/>
    <col min="20" max="20" width="10.28515625" hidden="1" customWidth="1"/>
    <col min="21" max="21" width="12" hidden="1" customWidth="1"/>
    <col min="22" max="22" width="11" hidden="1" customWidth="1"/>
    <col min="23" max="23" width="19.5703125" bestFit="1" customWidth="1"/>
    <col min="24" max="24" width="11.140625" hidden="1" customWidth="1"/>
    <col min="25" max="25" width="14" hidden="1" customWidth="1"/>
    <col min="26" max="26" width="10.42578125" hidden="1" customWidth="1"/>
    <col min="27" max="27" width="10.28515625" hidden="1" customWidth="1"/>
    <col min="28" max="28" width="12" hidden="1" customWidth="1"/>
    <col min="29" max="29" width="10.85546875" hidden="1" customWidth="1"/>
    <col min="30" max="30" width="18.42578125" bestFit="1" customWidth="1"/>
    <col min="31" max="31" width="12.7109375" customWidth="1"/>
    <col min="32" max="32" width="11.140625" hidden="1" customWidth="1"/>
    <col min="33" max="33" width="15.140625" hidden="1" customWidth="1"/>
    <col min="34" max="34" width="10.42578125" hidden="1" customWidth="1"/>
    <col min="35" max="35" width="10.28515625" hidden="1" customWidth="1"/>
    <col min="36" max="36" width="12" hidden="1" customWidth="1"/>
    <col min="37" max="37" width="10.42578125" hidden="1" customWidth="1"/>
    <col min="38" max="38" width="17.85546875" bestFit="1" customWidth="1"/>
    <col min="39" max="39" width="11.5703125" bestFit="1" customWidth="1"/>
    <col min="40" max="40" width="12.140625" hidden="1" customWidth="1"/>
    <col min="41" max="41" width="10.7109375" hidden="1" customWidth="1"/>
    <col min="42" max="42" width="10.42578125" hidden="1" customWidth="1"/>
    <col min="43" max="43" width="10" hidden="1" customWidth="1"/>
    <col min="44" max="44" width="11.7109375" hidden="1" customWidth="1"/>
    <col min="45" max="45" width="10.42578125" hidden="1" customWidth="1"/>
    <col min="46" max="46" width="18" bestFit="1" customWidth="1"/>
    <col min="47" max="47" width="11.5703125" bestFit="1" customWidth="1"/>
    <col min="48" max="48" width="9.7109375" hidden="1" customWidth="1"/>
    <col min="49" max="49" width="11" hidden="1" customWidth="1"/>
    <col min="50" max="50" width="10.42578125" hidden="1" customWidth="1"/>
    <col min="51" max="51" width="10.28515625" hidden="1" customWidth="1"/>
    <col min="52" max="52" width="12" hidden="1" customWidth="1"/>
    <col min="53" max="53" width="10.85546875" hidden="1" customWidth="1"/>
    <col min="54" max="54" width="16" hidden="1" customWidth="1"/>
    <col min="55" max="55" width="16.85546875" bestFit="1" customWidth="1"/>
    <col min="56" max="56" width="11.5703125" bestFit="1" customWidth="1"/>
    <col min="57" max="57" width="10.7109375" hidden="1" customWidth="1"/>
    <col min="58" max="58" width="11" hidden="1" customWidth="1"/>
    <col min="59" max="59" width="10.42578125" hidden="1" customWidth="1"/>
    <col min="60" max="60" width="10.28515625" hidden="1" customWidth="1"/>
    <col min="61" max="61" width="12" hidden="1" customWidth="1"/>
    <col min="62" max="62" width="10.7109375" hidden="1" customWidth="1"/>
    <col min="63" max="63" width="13.7109375" hidden="1" customWidth="1"/>
    <col min="64" max="64" width="16.85546875" bestFit="1" customWidth="1"/>
    <col min="65" max="65" width="11.5703125" bestFit="1" customWidth="1"/>
    <col min="66" max="66" width="9.7109375" hidden="1" customWidth="1"/>
    <col min="67" max="67" width="11" hidden="1" customWidth="1"/>
    <col min="68" max="68" width="10.42578125" hidden="1" customWidth="1"/>
    <col min="69" max="69" width="10.28515625" hidden="1" customWidth="1"/>
    <col min="70" max="70" width="12" hidden="1" customWidth="1"/>
    <col min="71" max="71" width="9.7109375" hidden="1" customWidth="1"/>
    <col min="72" max="72" width="13.42578125" hidden="1" customWidth="1"/>
    <col min="73" max="73" width="17.5703125" bestFit="1" customWidth="1"/>
    <col min="74" max="74" width="9.140625" customWidth="1"/>
    <col min="75" max="75" width="13.140625" hidden="1" customWidth="1"/>
    <col min="76" max="76" width="11" hidden="1" customWidth="1"/>
    <col min="77" max="77" width="10.42578125" hidden="1" customWidth="1"/>
    <col min="78" max="78" width="10.28515625" hidden="1" customWidth="1"/>
    <col min="79" max="79" width="12" hidden="1" customWidth="1"/>
    <col min="80" max="81" width="9.140625" hidden="1" customWidth="1"/>
    <col min="82" max="82" width="17.5703125" customWidth="1"/>
    <col min="83" max="83" width="11.5703125" bestFit="1" customWidth="1"/>
    <col min="84" max="84" width="9.7109375" bestFit="1" customWidth="1"/>
    <col min="85" max="85" width="11" bestFit="1" customWidth="1"/>
    <col min="86" max="86" width="10.42578125" bestFit="1" customWidth="1"/>
    <col min="89" max="89" width="9.7109375" bestFit="1" customWidth="1"/>
    <col min="90" max="90" width="9.42578125" customWidth="1"/>
    <col min="91" max="91" width="17.5703125" bestFit="1" customWidth="1"/>
    <col min="92" max="92" width="11.5703125" bestFit="1" customWidth="1"/>
  </cols>
  <sheetData>
    <row r="1" spans="1:92" ht="30" x14ac:dyDescent="0.25">
      <c r="A1" s="6" t="s">
        <v>264</v>
      </c>
      <c r="B1" s="6" t="s">
        <v>699</v>
      </c>
      <c r="C1" s="6" t="s">
        <v>700</v>
      </c>
      <c r="D1" s="6" t="s">
        <v>718</v>
      </c>
      <c r="E1" s="6" t="s">
        <v>28</v>
      </c>
      <c r="F1" s="6"/>
      <c r="G1" s="6" t="s">
        <v>719</v>
      </c>
      <c r="H1" s="136" t="s">
        <v>792</v>
      </c>
      <c r="I1" s="6" t="s">
        <v>264</v>
      </c>
      <c r="J1" s="6" t="s">
        <v>699</v>
      </c>
      <c r="K1" s="6" t="s">
        <v>700</v>
      </c>
      <c r="L1" s="6" t="s">
        <v>718</v>
      </c>
      <c r="M1" s="6" t="s">
        <v>28</v>
      </c>
      <c r="N1" s="6"/>
      <c r="O1" s="6" t="s">
        <v>719</v>
      </c>
      <c r="P1" s="8" t="s">
        <v>845</v>
      </c>
      <c r="Q1" s="6" t="s">
        <v>264</v>
      </c>
      <c r="R1" s="6" t="s">
        <v>699</v>
      </c>
      <c r="S1" s="6" t="s">
        <v>700</v>
      </c>
      <c r="T1" s="6" t="s">
        <v>718</v>
      </c>
      <c r="U1" s="6" t="s">
        <v>28</v>
      </c>
      <c r="V1" s="6" t="s">
        <v>719</v>
      </c>
      <c r="W1" s="8" t="s">
        <v>1073</v>
      </c>
      <c r="X1" s="6" t="s">
        <v>264</v>
      </c>
      <c r="Y1" s="6" t="s">
        <v>699</v>
      </c>
      <c r="Z1" s="6" t="s">
        <v>700</v>
      </c>
      <c r="AA1" s="6" t="s">
        <v>718</v>
      </c>
      <c r="AB1" s="6" t="s">
        <v>28</v>
      </c>
      <c r="AC1" s="6" t="s">
        <v>719</v>
      </c>
      <c r="AD1" s="8" t="s">
        <v>1154</v>
      </c>
      <c r="AE1" s="6" t="s">
        <v>1108</v>
      </c>
      <c r="AF1" s="6" t="s">
        <v>264</v>
      </c>
      <c r="AG1" s="6" t="s">
        <v>699</v>
      </c>
      <c r="AH1" s="6" t="s">
        <v>700</v>
      </c>
      <c r="AI1" s="6" t="s">
        <v>718</v>
      </c>
      <c r="AJ1" s="6" t="s">
        <v>28</v>
      </c>
      <c r="AK1" s="6" t="s">
        <v>719</v>
      </c>
      <c r="AL1" s="8" t="s">
        <v>1197</v>
      </c>
      <c r="AM1" s="6" t="s">
        <v>1108</v>
      </c>
      <c r="AN1" s="8" t="s">
        <v>1203</v>
      </c>
      <c r="AO1" s="6" t="s">
        <v>699</v>
      </c>
      <c r="AP1" s="6" t="s">
        <v>700</v>
      </c>
      <c r="AQ1" s="6" t="s">
        <v>718</v>
      </c>
      <c r="AR1" s="6" t="s">
        <v>28</v>
      </c>
      <c r="AS1" s="6" t="s">
        <v>719</v>
      </c>
      <c r="AT1" s="8" t="s">
        <v>1259</v>
      </c>
      <c r="AU1" s="6" t="s">
        <v>1108</v>
      </c>
      <c r="AV1" s="8" t="s">
        <v>1262</v>
      </c>
      <c r="AW1" s="6" t="s">
        <v>699</v>
      </c>
      <c r="AX1" s="6" t="s">
        <v>700</v>
      </c>
      <c r="AY1" s="6" t="s">
        <v>718</v>
      </c>
      <c r="AZ1" s="6" t="s">
        <v>28</v>
      </c>
      <c r="BA1" s="6" t="s">
        <v>719</v>
      </c>
      <c r="BB1" s="6" t="s">
        <v>794</v>
      </c>
      <c r="BC1" s="8" t="s">
        <v>1373</v>
      </c>
      <c r="BD1" s="6" t="s">
        <v>1108</v>
      </c>
      <c r="BE1" s="8" t="s">
        <v>1346</v>
      </c>
      <c r="BF1" s="6" t="s">
        <v>699</v>
      </c>
      <c r="BG1" s="6" t="s">
        <v>700</v>
      </c>
      <c r="BH1" s="6" t="s">
        <v>718</v>
      </c>
      <c r="BI1" s="6" t="s">
        <v>28</v>
      </c>
      <c r="BJ1" s="6" t="s">
        <v>719</v>
      </c>
      <c r="BK1" s="6" t="s">
        <v>794</v>
      </c>
      <c r="BL1" s="8" t="s">
        <v>1390</v>
      </c>
      <c r="BM1" s="6" t="s">
        <v>1108</v>
      </c>
      <c r="BN1" s="8" t="s">
        <v>1346</v>
      </c>
      <c r="BO1" s="6" t="s">
        <v>699</v>
      </c>
      <c r="BP1" s="6" t="s">
        <v>700</v>
      </c>
      <c r="BQ1" s="6" t="s">
        <v>718</v>
      </c>
      <c r="BR1" s="6" t="s">
        <v>28</v>
      </c>
      <c r="BS1" s="6" t="s">
        <v>719</v>
      </c>
      <c r="BT1" s="6" t="s">
        <v>794</v>
      </c>
      <c r="BU1" s="8" t="s">
        <v>1411</v>
      </c>
      <c r="BV1" s="6" t="s">
        <v>1108</v>
      </c>
      <c r="BW1" s="8" t="s">
        <v>1436</v>
      </c>
      <c r="BX1" s="6" t="s">
        <v>699</v>
      </c>
      <c r="BY1" s="6" t="s">
        <v>700</v>
      </c>
      <c r="BZ1" s="6" t="s">
        <v>718</v>
      </c>
      <c r="CA1" s="6" t="s">
        <v>28</v>
      </c>
      <c r="CB1" s="6" t="s">
        <v>719</v>
      </c>
      <c r="CC1" s="6" t="s">
        <v>794</v>
      </c>
      <c r="CD1" s="8" t="s">
        <v>1455</v>
      </c>
      <c r="CE1" s="6" t="s">
        <v>1108</v>
      </c>
      <c r="CF1" s="8" t="s">
        <v>1448</v>
      </c>
      <c r="CG1" s="6" t="s">
        <v>699</v>
      </c>
      <c r="CH1" s="6" t="s">
        <v>700</v>
      </c>
      <c r="CI1" s="6" t="s">
        <v>718</v>
      </c>
      <c r="CJ1" s="6" t="s">
        <v>28</v>
      </c>
      <c r="CK1" s="6" t="s">
        <v>719</v>
      </c>
      <c r="CL1" s="6" t="s">
        <v>794</v>
      </c>
      <c r="CM1" s="8" t="s">
        <v>1449</v>
      </c>
      <c r="CN1" s="6" t="s">
        <v>1108</v>
      </c>
    </row>
    <row r="2" spans="1:92" x14ac:dyDescent="0.25">
      <c r="A2" t="s">
        <v>713</v>
      </c>
      <c r="B2" s="1">
        <v>45884</v>
      </c>
      <c r="C2" s="1">
        <v>45953</v>
      </c>
      <c r="D2">
        <f t="shared" ref="D2:D39" si="0">_xlfn.DAYS(C2,B2)</f>
        <v>69</v>
      </c>
      <c r="E2" s="132">
        <f t="shared" ref="E2:E39" si="1">SUM(D2/7)</f>
        <v>9.8571428571428577</v>
      </c>
      <c r="G2" t="s">
        <v>714</v>
      </c>
      <c r="H2" s="2" t="s">
        <v>857</v>
      </c>
      <c r="I2" t="s">
        <v>751</v>
      </c>
      <c r="J2" s="1">
        <v>45894</v>
      </c>
      <c r="K2" s="1">
        <v>45971</v>
      </c>
      <c r="L2">
        <f>_xlfn.DAYS(K2,J2)</f>
        <v>77</v>
      </c>
      <c r="M2" s="132">
        <f>SUM(L2/7)</f>
        <v>11</v>
      </c>
      <c r="N2">
        <v>41.57</v>
      </c>
      <c r="O2" t="s">
        <v>753</v>
      </c>
      <c r="P2" s="2" t="s">
        <v>849</v>
      </c>
      <c r="Q2" t="s">
        <v>751</v>
      </c>
      <c r="R2" s="1">
        <v>45908</v>
      </c>
      <c r="S2" s="1">
        <v>45942</v>
      </c>
      <c r="T2">
        <f t="shared" ref="T2:T7" si="2">_xlfn.DAYS(S2,R2)</f>
        <v>34</v>
      </c>
      <c r="U2" s="132">
        <f t="shared" ref="U2:U7" si="3">SUM(T2/7)</f>
        <v>4.8571428571428568</v>
      </c>
      <c r="V2" t="s">
        <v>890</v>
      </c>
      <c r="W2" s="2" t="s">
        <v>1066</v>
      </c>
      <c r="X2" t="s">
        <v>751</v>
      </c>
      <c r="Y2" s="1">
        <v>45936</v>
      </c>
      <c r="Z2" s="1">
        <v>45962</v>
      </c>
      <c r="AA2">
        <f t="shared" ref="AA2:AA34" si="4">_xlfn.DAYS(Z2,Y2)</f>
        <v>26</v>
      </c>
      <c r="AB2" s="132">
        <f>SUM(AA2/7)</f>
        <v>3.7142857142857144</v>
      </c>
      <c r="AC2" t="s">
        <v>1077</v>
      </c>
      <c r="AD2" s="222" t="s">
        <v>1066</v>
      </c>
      <c r="AE2" s="14">
        <v>30.86</v>
      </c>
      <c r="AF2" t="s">
        <v>751</v>
      </c>
      <c r="AG2" s="1">
        <v>45985</v>
      </c>
      <c r="AH2" s="1">
        <v>46026</v>
      </c>
      <c r="AI2">
        <f t="shared" ref="AI2:AI27" si="5">_xlfn.DAYS(AH2,AG2)</f>
        <v>41</v>
      </c>
      <c r="AJ2" s="132">
        <f t="shared" ref="AJ2:AJ27" si="6">SUM(AI2/7)</f>
        <v>5.8571428571428568</v>
      </c>
      <c r="AK2" t="s">
        <v>1163</v>
      </c>
      <c r="AL2" s="222" t="s">
        <v>1066</v>
      </c>
      <c r="AM2" s="2">
        <v>20.29</v>
      </c>
      <c r="AN2" s="9" t="s">
        <v>731</v>
      </c>
      <c r="AO2" s="1">
        <v>46041</v>
      </c>
      <c r="AP2" s="1">
        <v>46053</v>
      </c>
      <c r="AQ2">
        <f t="shared" ref="AQ2:AQ24" si="7">_xlfn.DAYS(AP2,AO2)</f>
        <v>12</v>
      </c>
      <c r="AR2" s="132">
        <f t="shared" ref="AR2:AR31" si="8">SUM(AQ2/7)</f>
        <v>1.7142857142857142</v>
      </c>
      <c r="AS2" t="s">
        <v>1212</v>
      </c>
      <c r="AT2" s="222" t="s">
        <v>1250</v>
      </c>
      <c r="AU2" s="222">
        <v>59.57</v>
      </c>
      <c r="AV2" t="s">
        <v>731</v>
      </c>
      <c r="AW2" s="1">
        <v>46043</v>
      </c>
      <c r="AX2" s="1">
        <v>46112</v>
      </c>
      <c r="AY2">
        <f t="shared" ref="AY2:AY9" si="9">_xlfn.DAYS(AX2,AW2)</f>
        <v>69</v>
      </c>
      <c r="AZ2" s="132">
        <f t="shared" ref="AZ2:AZ34" si="10">SUM(AY2/7)</f>
        <v>9.8571428571428577</v>
      </c>
      <c r="BA2" t="s">
        <v>1263</v>
      </c>
      <c r="BB2" t="s">
        <v>1299</v>
      </c>
      <c r="BC2" s="222" t="s">
        <v>858</v>
      </c>
      <c r="BD2" s="14">
        <v>19.14</v>
      </c>
      <c r="BE2" t="s">
        <v>471</v>
      </c>
      <c r="BF2" s="1">
        <v>46082</v>
      </c>
      <c r="BG2" s="1">
        <v>46125</v>
      </c>
      <c r="BH2">
        <f t="shared" ref="BH2:BH12" si="11">_xlfn.DAYS(BG2,BF2)</f>
        <v>43</v>
      </c>
      <c r="BI2" s="132">
        <f t="shared" ref="BI2:BI17" si="12">SUM(BH2/7)</f>
        <v>6.1428571428571432</v>
      </c>
      <c r="BJ2" t="s">
        <v>1350</v>
      </c>
      <c r="BK2" t="s">
        <v>131</v>
      </c>
      <c r="BL2" s="222" t="s">
        <v>1388</v>
      </c>
      <c r="BM2" s="20">
        <v>83.43</v>
      </c>
      <c r="BN2" t="s">
        <v>471</v>
      </c>
      <c r="BO2" s="1">
        <v>46125</v>
      </c>
      <c r="BP2" s="1">
        <v>46166</v>
      </c>
      <c r="BQ2">
        <f>_xlfn.DAYS(BP2,BO2)</f>
        <v>41</v>
      </c>
      <c r="BR2" s="132">
        <f>SUM(BQ2/7)</f>
        <v>5.8571428571428568</v>
      </c>
      <c r="BS2" t="s">
        <v>1392</v>
      </c>
      <c r="BT2" t="s">
        <v>233</v>
      </c>
      <c r="BU2" s="14" t="s">
        <v>1413</v>
      </c>
      <c r="BV2" s="14">
        <v>12.57</v>
      </c>
      <c r="BW2" t="s">
        <v>471</v>
      </c>
      <c r="BX2" s="1">
        <v>46190</v>
      </c>
      <c r="BY2" s="1">
        <v>46231</v>
      </c>
      <c r="BZ2">
        <f t="shared" ref="BZ2:BZ33" si="13">_xlfn.DAYS(BY2,BX2)</f>
        <v>41</v>
      </c>
      <c r="CA2" s="132">
        <f t="shared" ref="CA2:CA17" si="14">SUM(BZ2/7)</f>
        <v>5.8571428571428568</v>
      </c>
      <c r="CB2" t="s">
        <v>84</v>
      </c>
      <c r="CC2" t="s">
        <v>233</v>
      </c>
      <c r="CD2" s="242" t="s">
        <v>1447</v>
      </c>
      <c r="CE2" s="222">
        <v>51.57</v>
      </c>
      <c r="CF2" t="s">
        <v>471</v>
      </c>
      <c r="CG2" s="1">
        <v>46181</v>
      </c>
      <c r="CH2" s="1">
        <v>46208</v>
      </c>
      <c r="CI2">
        <f t="shared" ref="CI2:CI10" si="15">_xlfn.DAYS(CH2,CG2)</f>
        <v>27</v>
      </c>
      <c r="CJ2" s="132">
        <f t="shared" ref="CJ2:CJ10" si="16">SUM(CI2/7)</f>
        <v>3.8571428571428572</v>
      </c>
      <c r="CK2" t="s">
        <v>1463</v>
      </c>
      <c r="CL2" t="s">
        <v>131</v>
      </c>
      <c r="CM2" s="243" t="s">
        <v>1450</v>
      </c>
      <c r="CN2" s="14"/>
    </row>
    <row r="3" spans="1:92" x14ac:dyDescent="0.25">
      <c r="A3" t="s">
        <v>713</v>
      </c>
      <c r="B3" s="1">
        <v>45863</v>
      </c>
      <c r="C3" s="1">
        <v>45891</v>
      </c>
      <c r="D3">
        <f t="shared" si="0"/>
        <v>28</v>
      </c>
      <c r="E3" s="132">
        <f t="shared" si="1"/>
        <v>4</v>
      </c>
      <c r="G3" t="s">
        <v>744</v>
      </c>
      <c r="H3" s="2" t="s">
        <v>858</v>
      </c>
      <c r="I3" t="s">
        <v>751</v>
      </c>
      <c r="J3" s="1">
        <v>45880</v>
      </c>
      <c r="K3" s="1">
        <v>45921</v>
      </c>
      <c r="L3">
        <f t="shared" ref="L3:L43" si="17">_xlfn.DAYS(K3,J3)</f>
        <v>41</v>
      </c>
      <c r="M3" s="132">
        <f t="shared" ref="M3:M43" si="18">SUM(L3/7)</f>
        <v>5.8571428571428568</v>
      </c>
      <c r="O3" t="s">
        <v>764</v>
      </c>
      <c r="P3" s="2" t="s">
        <v>850</v>
      </c>
      <c r="Q3" t="s">
        <v>751</v>
      </c>
      <c r="R3" s="1">
        <v>45950</v>
      </c>
      <c r="S3" s="1">
        <v>46033</v>
      </c>
      <c r="T3">
        <f t="shared" si="2"/>
        <v>83</v>
      </c>
      <c r="U3" s="132">
        <f t="shared" si="3"/>
        <v>11.857142857142858</v>
      </c>
      <c r="V3" t="s">
        <v>895</v>
      </c>
      <c r="W3" s="2" t="s">
        <v>850</v>
      </c>
      <c r="X3" t="s">
        <v>751</v>
      </c>
      <c r="Y3" s="1">
        <v>45966</v>
      </c>
      <c r="Z3" s="1">
        <v>46021</v>
      </c>
      <c r="AA3">
        <f t="shared" si="4"/>
        <v>55</v>
      </c>
      <c r="AB3" s="132">
        <f t="shared" ref="AB3:AB34" si="19">SUM(AA3/7)</f>
        <v>7.8571428571428568</v>
      </c>
      <c r="AC3" t="s">
        <v>1081</v>
      </c>
      <c r="AD3" s="2" t="s">
        <v>1147</v>
      </c>
      <c r="AE3" s="2">
        <v>19.14</v>
      </c>
      <c r="AF3" t="s">
        <v>751</v>
      </c>
      <c r="AG3" s="1">
        <v>45978</v>
      </c>
      <c r="AH3" s="1">
        <v>45984</v>
      </c>
      <c r="AI3">
        <f t="shared" si="5"/>
        <v>6</v>
      </c>
      <c r="AJ3" s="132">
        <f t="shared" si="6"/>
        <v>0.8571428571428571</v>
      </c>
      <c r="AK3" t="s">
        <v>1165</v>
      </c>
      <c r="AL3" s="14" t="s">
        <v>1199</v>
      </c>
      <c r="AM3" s="2">
        <v>13.71</v>
      </c>
      <c r="AN3" s="9" t="s">
        <v>731</v>
      </c>
      <c r="AO3" s="1">
        <v>45999</v>
      </c>
      <c r="AP3" s="1">
        <v>46040</v>
      </c>
      <c r="AQ3">
        <f t="shared" si="7"/>
        <v>41</v>
      </c>
      <c r="AR3" s="132">
        <f t="shared" si="8"/>
        <v>5.8571428571428568</v>
      </c>
      <c r="AS3" t="s">
        <v>1213</v>
      </c>
      <c r="AT3" s="222" t="s">
        <v>1240</v>
      </c>
      <c r="AU3" s="222">
        <v>38.71</v>
      </c>
      <c r="AV3" t="s">
        <v>731</v>
      </c>
      <c r="AW3" s="1">
        <v>46058</v>
      </c>
      <c r="AX3" s="1">
        <v>46079</v>
      </c>
      <c r="AY3">
        <f t="shared" si="9"/>
        <v>21</v>
      </c>
      <c r="AZ3" s="132">
        <f t="shared" si="10"/>
        <v>3</v>
      </c>
      <c r="BA3" t="s">
        <v>1282</v>
      </c>
      <c r="BB3" t="s">
        <v>175</v>
      </c>
      <c r="BC3" s="222" t="s">
        <v>1061</v>
      </c>
      <c r="BD3" s="222">
        <v>25</v>
      </c>
      <c r="BE3" t="s">
        <v>471</v>
      </c>
      <c r="BF3" s="1">
        <v>46092</v>
      </c>
      <c r="BG3" s="1">
        <v>46154</v>
      </c>
      <c r="BH3">
        <f t="shared" si="11"/>
        <v>62</v>
      </c>
      <c r="BI3" s="132">
        <f t="shared" si="12"/>
        <v>8.8571428571428577</v>
      </c>
      <c r="BJ3" t="s">
        <v>1179</v>
      </c>
      <c r="BK3" t="s">
        <v>131</v>
      </c>
      <c r="BL3" s="14" t="s">
        <v>1146</v>
      </c>
      <c r="BM3" s="14">
        <v>28.14</v>
      </c>
      <c r="BN3" t="s">
        <v>471</v>
      </c>
      <c r="BO3" s="1">
        <v>46097</v>
      </c>
      <c r="BP3" s="1">
        <v>46117</v>
      </c>
      <c r="BQ3">
        <f>_xlfn.DAYS(BP3,BO3)</f>
        <v>20</v>
      </c>
      <c r="BR3" s="132">
        <f>SUM(BQ3/7)</f>
        <v>2.8571428571428572</v>
      </c>
      <c r="BS3" t="s">
        <v>1396</v>
      </c>
      <c r="BT3" t="s">
        <v>233</v>
      </c>
      <c r="BU3" s="222" t="s">
        <v>1200</v>
      </c>
      <c r="BV3" s="222">
        <v>36.57</v>
      </c>
      <c r="BW3" t="s">
        <v>471</v>
      </c>
      <c r="BX3" s="1">
        <v>46150</v>
      </c>
      <c r="BY3" s="1">
        <v>46191</v>
      </c>
      <c r="BZ3">
        <f t="shared" si="13"/>
        <v>41</v>
      </c>
      <c r="CA3" s="132">
        <f t="shared" si="14"/>
        <v>5.8571428571428568</v>
      </c>
      <c r="CB3" t="s">
        <v>1429</v>
      </c>
      <c r="CC3" t="s">
        <v>1430</v>
      </c>
      <c r="CD3" s="222" t="s">
        <v>860</v>
      </c>
      <c r="CE3" s="14">
        <v>33.29</v>
      </c>
      <c r="CF3" t="s">
        <v>471</v>
      </c>
      <c r="CG3" s="1">
        <v>46174</v>
      </c>
      <c r="CH3" s="1">
        <v>46215</v>
      </c>
      <c r="CI3">
        <f t="shared" si="15"/>
        <v>41</v>
      </c>
      <c r="CJ3" s="132">
        <f t="shared" si="16"/>
        <v>5.8571428571428568</v>
      </c>
      <c r="CK3" t="s">
        <v>1013</v>
      </c>
      <c r="CL3" t="s">
        <v>148</v>
      </c>
      <c r="CM3" s="14" t="s">
        <v>1451</v>
      </c>
      <c r="CN3" s="14"/>
    </row>
    <row r="4" spans="1:92" x14ac:dyDescent="0.25">
      <c r="A4" t="s">
        <v>713</v>
      </c>
      <c r="B4" s="1">
        <v>45897</v>
      </c>
      <c r="C4" s="1">
        <v>45939</v>
      </c>
      <c r="D4">
        <f t="shared" si="0"/>
        <v>42</v>
      </c>
      <c r="E4" s="132">
        <f t="shared" si="1"/>
        <v>6</v>
      </c>
      <c r="G4" t="s">
        <v>745</v>
      </c>
      <c r="H4" s="2" t="s">
        <v>860</v>
      </c>
      <c r="I4" t="s">
        <v>751</v>
      </c>
      <c r="J4" s="1">
        <v>45903</v>
      </c>
      <c r="K4" s="1">
        <v>45993</v>
      </c>
      <c r="L4">
        <f t="shared" si="17"/>
        <v>90</v>
      </c>
      <c r="M4" s="132">
        <f t="shared" si="18"/>
        <v>12.857142857142858</v>
      </c>
      <c r="O4" t="s">
        <v>766</v>
      </c>
      <c r="P4" s="2" t="s">
        <v>851</v>
      </c>
      <c r="Q4" t="s">
        <v>751</v>
      </c>
      <c r="R4" s="1">
        <v>45919</v>
      </c>
      <c r="S4" s="1">
        <v>45942</v>
      </c>
      <c r="T4">
        <f t="shared" si="2"/>
        <v>23</v>
      </c>
      <c r="U4" s="132">
        <f t="shared" si="3"/>
        <v>3.2857142857142856</v>
      </c>
      <c r="V4" t="s">
        <v>890</v>
      </c>
      <c r="W4" s="2" t="s">
        <v>1061</v>
      </c>
      <c r="X4" t="s">
        <v>751</v>
      </c>
      <c r="Y4" s="1">
        <v>45958</v>
      </c>
      <c r="Z4" s="1">
        <v>46000</v>
      </c>
      <c r="AA4">
        <f t="shared" si="4"/>
        <v>42</v>
      </c>
      <c r="AB4" s="132">
        <f t="shared" si="19"/>
        <v>6</v>
      </c>
      <c r="AC4" t="s">
        <v>1110</v>
      </c>
      <c r="AD4" s="2" t="s">
        <v>1146</v>
      </c>
      <c r="AE4" s="2">
        <v>25.14</v>
      </c>
      <c r="AF4" t="s">
        <v>751</v>
      </c>
      <c r="AG4" s="1">
        <v>45992</v>
      </c>
      <c r="AH4" s="1">
        <v>46010</v>
      </c>
      <c r="AI4">
        <f t="shared" si="5"/>
        <v>18</v>
      </c>
      <c r="AJ4" s="132">
        <f t="shared" si="6"/>
        <v>2.5714285714285716</v>
      </c>
      <c r="AK4" t="s">
        <v>1176</v>
      </c>
      <c r="AL4" s="222" t="s">
        <v>1200</v>
      </c>
      <c r="AM4" s="222">
        <v>37.14</v>
      </c>
      <c r="AN4" s="9" t="s">
        <v>731</v>
      </c>
      <c r="AO4" s="1">
        <v>46006</v>
      </c>
      <c r="AP4" s="1">
        <v>46047</v>
      </c>
      <c r="AQ4">
        <f t="shared" si="7"/>
        <v>41</v>
      </c>
      <c r="AR4" s="132">
        <f t="shared" si="8"/>
        <v>5.8571428571428568</v>
      </c>
      <c r="AS4" t="s">
        <v>729</v>
      </c>
      <c r="AT4" s="222" t="s">
        <v>1241</v>
      </c>
      <c r="AU4" s="14">
        <v>31.71</v>
      </c>
      <c r="AV4" t="s">
        <v>731</v>
      </c>
      <c r="AW4" s="1">
        <v>46051</v>
      </c>
      <c r="AX4" s="1">
        <v>46082</v>
      </c>
      <c r="AY4">
        <f t="shared" si="9"/>
        <v>31</v>
      </c>
      <c r="AZ4" s="132">
        <f t="shared" si="10"/>
        <v>4.4285714285714288</v>
      </c>
      <c r="BA4" t="s">
        <v>1337</v>
      </c>
      <c r="BB4" t="s">
        <v>131</v>
      </c>
      <c r="BC4" s="14" t="s">
        <v>1342</v>
      </c>
      <c r="BD4" s="14">
        <v>16.57</v>
      </c>
      <c r="BE4" t="s">
        <v>471</v>
      </c>
      <c r="BF4" s="1">
        <v>46084</v>
      </c>
      <c r="BG4" s="1">
        <v>46167</v>
      </c>
      <c r="BH4">
        <f>_xlfn.DAYS(BG4,BF4)</f>
        <v>83</v>
      </c>
      <c r="BI4" s="132">
        <f>SUM(BH4/7)</f>
        <v>11.857142857142858</v>
      </c>
      <c r="BJ4" t="s">
        <v>1013</v>
      </c>
      <c r="BK4" t="s">
        <v>795</v>
      </c>
      <c r="BL4" s="222" t="s">
        <v>1391</v>
      </c>
      <c r="BM4" s="222">
        <v>98.43</v>
      </c>
      <c r="BN4" t="s">
        <v>471</v>
      </c>
      <c r="BO4" s="1">
        <v>46132</v>
      </c>
      <c r="BP4" s="1">
        <v>46159</v>
      </c>
      <c r="BQ4">
        <f>_xlfn.DAYS(BP4,BO4)</f>
        <v>27</v>
      </c>
      <c r="BR4" s="132">
        <f>SUM(BQ4/7)</f>
        <v>3.8571428571428572</v>
      </c>
      <c r="BS4" t="s">
        <v>1412</v>
      </c>
      <c r="BT4" t="s">
        <v>131</v>
      </c>
      <c r="BU4" s="222" t="s">
        <v>1242</v>
      </c>
      <c r="BV4" s="14">
        <v>24</v>
      </c>
      <c r="BW4" t="s">
        <v>471</v>
      </c>
      <c r="BX4" s="1">
        <v>46136</v>
      </c>
      <c r="BY4" s="1">
        <v>46176</v>
      </c>
      <c r="BZ4">
        <f t="shared" si="13"/>
        <v>40</v>
      </c>
      <c r="CA4" s="132">
        <f t="shared" si="14"/>
        <v>5.7142857142857144</v>
      </c>
      <c r="CB4" t="s">
        <v>1434</v>
      </c>
      <c r="CC4" t="s">
        <v>1402</v>
      </c>
      <c r="CD4" s="222" t="s">
        <v>1155</v>
      </c>
      <c r="CE4" s="14">
        <v>31.71</v>
      </c>
      <c r="CF4" t="s">
        <v>471</v>
      </c>
      <c r="CG4" s="1">
        <v>46173</v>
      </c>
      <c r="CH4" s="1">
        <v>46257</v>
      </c>
      <c r="CI4">
        <f t="shared" si="15"/>
        <v>84</v>
      </c>
      <c r="CJ4" s="132">
        <f t="shared" si="16"/>
        <v>12</v>
      </c>
      <c r="CK4" t="s">
        <v>1057</v>
      </c>
      <c r="CL4" t="s">
        <v>131</v>
      </c>
      <c r="CM4" s="14" t="s">
        <v>1452</v>
      </c>
      <c r="CN4" s="14"/>
    </row>
    <row r="5" spans="1:92" x14ac:dyDescent="0.25">
      <c r="A5" t="s">
        <v>713</v>
      </c>
      <c r="B5" s="1">
        <v>45901</v>
      </c>
      <c r="C5" s="1">
        <v>45926</v>
      </c>
      <c r="D5">
        <f t="shared" si="0"/>
        <v>25</v>
      </c>
      <c r="E5" s="132">
        <f t="shared" si="1"/>
        <v>3.5714285714285716</v>
      </c>
      <c r="G5" t="s">
        <v>750</v>
      </c>
      <c r="H5" s="2" t="s">
        <v>861</v>
      </c>
      <c r="I5" t="s">
        <v>751</v>
      </c>
      <c r="J5" s="1">
        <v>45943</v>
      </c>
      <c r="K5" s="1">
        <v>45970</v>
      </c>
      <c r="L5">
        <f t="shared" si="17"/>
        <v>27</v>
      </c>
      <c r="M5" s="132">
        <f t="shared" si="18"/>
        <v>3.8571428571428572</v>
      </c>
      <c r="O5" t="s">
        <v>832</v>
      </c>
      <c r="P5" s="2" t="s">
        <v>852</v>
      </c>
      <c r="Q5" t="s">
        <v>751</v>
      </c>
      <c r="R5" s="1">
        <v>45928</v>
      </c>
      <c r="S5" s="1">
        <v>45961</v>
      </c>
      <c r="T5">
        <f t="shared" si="2"/>
        <v>33</v>
      </c>
      <c r="U5" s="132">
        <f t="shared" si="3"/>
        <v>4.7142857142857144</v>
      </c>
      <c r="V5" t="s">
        <v>990</v>
      </c>
      <c r="W5" s="2" t="s">
        <v>1069</v>
      </c>
      <c r="X5" t="s">
        <v>751</v>
      </c>
      <c r="Y5" s="1">
        <v>45952</v>
      </c>
      <c r="Z5" s="1">
        <v>45980</v>
      </c>
      <c r="AA5">
        <f t="shared" si="4"/>
        <v>28</v>
      </c>
      <c r="AB5" s="132">
        <f t="shared" si="19"/>
        <v>4</v>
      </c>
      <c r="AC5" t="s">
        <v>1124</v>
      </c>
      <c r="AD5" s="222" t="s">
        <v>1150</v>
      </c>
      <c r="AE5" s="222">
        <v>64.290000000000006</v>
      </c>
      <c r="AF5" t="s">
        <v>751</v>
      </c>
      <c r="AG5" s="1">
        <v>45975</v>
      </c>
      <c r="AH5" s="1">
        <v>46002</v>
      </c>
      <c r="AI5">
        <f t="shared" si="5"/>
        <v>27</v>
      </c>
      <c r="AJ5" s="132">
        <f t="shared" si="6"/>
        <v>3.8571428571428572</v>
      </c>
      <c r="AK5" t="s">
        <v>1177</v>
      </c>
      <c r="AL5" s="14" t="s">
        <v>1201</v>
      </c>
      <c r="AM5" s="2">
        <v>13.29</v>
      </c>
      <c r="AN5" s="9" t="s">
        <v>731</v>
      </c>
      <c r="AO5" s="1">
        <v>46055</v>
      </c>
      <c r="AP5" s="1">
        <v>46110</v>
      </c>
      <c r="AQ5">
        <f t="shared" si="7"/>
        <v>55</v>
      </c>
      <c r="AR5" s="132">
        <f t="shared" si="8"/>
        <v>7.8571428571428568</v>
      </c>
      <c r="AS5" t="s">
        <v>1218</v>
      </c>
      <c r="AT5" s="222" t="s">
        <v>1242</v>
      </c>
      <c r="AU5" s="222">
        <v>37</v>
      </c>
      <c r="AV5" t="s">
        <v>731</v>
      </c>
      <c r="AW5" s="1">
        <v>46056</v>
      </c>
      <c r="AX5" s="1">
        <v>46069</v>
      </c>
      <c r="AY5">
        <f t="shared" si="9"/>
        <v>13</v>
      </c>
      <c r="AZ5" s="132">
        <f t="shared" si="10"/>
        <v>1.8571428571428572</v>
      </c>
      <c r="BA5" t="s">
        <v>1339</v>
      </c>
      <c r="BB5" t="s">
        <v>148</v>
      </c>
      <c r="BC5" s="222" t="s">
        <v>1372</v>
      </c>
      <c r="BD5" s="222">
        <v>47</v>
      </c>
      <c r="BE5" t="s">
        <v>471</v>
      </c>
      <c r="BF5" s="1">
        <v>46069</v>
      </c>
      <c r="BG5" s="1">
        <v>46112</v>
      </c>
      <c r="BH5">
        <f t="shared" si="11"/>
        <v>43</v>
      </c>
      <c r="BI5" s="132">
        <f t="shared" si="12"/>
        <v>6.1428571428571432</v>
      </c>
      <c r="BJ5" t="s">
        <v>1360</v>
      </c>
      <c r="BK5" t="s">
        <v>795</v>
      </c>
      <c r="BL5" s="14" t="s">
        <v>1074</v>
      </c>
      <c r="BM5" s="14">
        <v>31.71</v>
      </c>
      <c r="BN5" t="s">
        <v>424</v>
      </c>
      <c r="BO5" s="1">
        <v>46105</v>
      </c>
      <c r="BP5" s="1">
        <v>46146</v>
      </c>
      <c r="BQ5">
        <f t="shared" ref="BQ5:BQ31" si="20">_xlfn.DAYS(BP5,BO5)</f>
        <v>41</v>
      </c>
      <c r="BR5" s="132">
        <f t="shared" ref="BR5:BR31" si="21">SUM(BQ5/7)</f>
        <v>5.8571428571428568</v>
      </c>
      <c r="BS5" t="s">
        <v>1393</v>
      </c>
      <c r="BT5" t="s">
        <v>804</v>
      </c>
      <c r="BU5" s="14" t="s">
        <v>1409</v>
      </c>
      <c r="BV5" s="14">
        <v>22.57</v>
      </c>
      <c r="BW5" t="s">
        <v>471</v>
      </c>
      <c r="BX5" s="1">
        <v>46175</v>
      </c>
      <c r="BY5" s="1">
        <v>46216</v>
      </c>
      <c r="BZ5">
        <f t="shared" si="13"/>
        <v>41</v>
      </c>
      <c r="CA5" s="132">
        <f t="shared" si="14"/>
        <v>5.8571428571428568</v>
      </c>
      <c r="CB5" t="s">
        <v>1338</v>
      </c>
      <c r="CC5" t="s">
        <v>171</v>
      </c>
      <c r="CD5" s="14" t="s">
        <v>1409</v>
      </c>
      <c r="CE5" s="14">
        <v>19.43</v>
      </c>
      <c r="CF5" t="s">
        <v>424</v>
      </c>
      <c r="CG5" s="1">
        <v>46177</v>
      </c>
      <c r="CH5" s="1">
        <v>46232</v>
      </c>
      <c r="CI5">
        <f t="shared" si="15"/>
        <v>55</v>
      </c>
      <c r="CJ5" s="132">
        <f t="shared" si="16"/>
        <v>7.8571428571428568</v>
      </c>
      <c r="CK5" t="s">
        <v>998</v>
      </c>
      <c r="CL5" t="s">
        <v>138</v>
      </c>
      <c r="CM5" s="14" t="s">
        <v>1453</v>
      </c>
      <c r="CN5" s="14"/>
    </row>
    <row r="6" spans="1:92" x14ac:dyDescent="0.25">
      <c r="A6" t="s">
        <v>731</v>
      </c>
      <c r="B6" s="1">
        <v>45897</v>
      </c>
      <c r="C6" s="1">
        <v>45977</v>
      </c>
      <c r="D6">
        <f t="shared" si="0"/>
        <v>80</v>
      </c>
      <c r="E6" s="132">
        <f t="shared" si="1"/>
        <v>11.428571428571429</v>
      </c>
      <c r="G6" t="s">
        <v>711</v>
      </c>
      <c r="H6" s="2" t="s">
        <v>859</v>
      </c>
      <c r="I6" t="s">
        <v>751</v>
      </c>
      <c r="J6" s="1">
        <v>45923</v>
      </c>
      <c r="K6" s="1">
        <v>45979</v>
      </c>
      <c r="L6">
        <f t="shared" si="17"/>
        <v>56</v>
      </c>
      <c r="M6" s="132">
        <f t="shared" si="18"/>
        <v>8</v>
      </c>
      <c r="O6" t="s">
        <v>836</v>
      </c>
      <c r="P6" s="2" t="s">
        <v>853</v>
      </c>
      <c r="Q6" t="s">
        <v>751</v>
      </c>
      <c r="R6" s="1">
        <v>45924</v>
      </c>
      <c r="S6" s="1">
        <v>45949</v>
      </c>
      <c r="T6">
        <f t="shared" si="2"/>
        <v>25</v>
      </c>
      <c r="U6" s="132">
        <f t="shared" si="3"/>
        <v>3.5714285714285716</v>
      </c>
      <c r="V6" t="s">
        <v>993</v>
      </c>
      <c r="W6" s="2" t="s">
        <v>1070</v>
      </c>
      <c r="X6" t="s">
        <v>751</v>
      </c>
      <c r="Y6" s="1">
        <v>46006</v>
      </c>
      <c r="Z6" s="1">
        <v>46034</v>
      </c>
      <c r="AA6">
        <f t="shared" si="4"/>
        <v>28</v>
      </c>
      <c r="AB6" s="132">
        <f t="shared" si="19"/>
        <v>4</v>
      </c>
      <c r="AC6" t="s">
        <v>1131</v>
      </c>
      <c r="AD6" s="222" t="s">
        <v>1155</v>
      </c>
      <c r="AE6" s="222">
        <v>40.71</v>
      </c>
      <c r="AF6" t="s">
        <v>751</v>
      </c>
      <c r="AG6" s="1">
        <v>46006</v>
      </c>
      <c r="AH6" s="1">
        <v>46047</v>
      </c>
      <c r="AI6">
        <f t="shared" si="5"/>
        <v>41</v>
      </c>
      <c r="AJ6" s="132">
        <f t="shared" si="6"/>
        <v>5.8571428571428568</v>
      </c>
      <c r="AK6" t="s">
        <v>1182</v>
      </c>
      <c r="AL6" s="222" t="s">
        <v>1155</v>
      </c>
      <c r="AM6" s="222">
        <v>41</v>
      </c>
      <c r="AN6" s="9" t="s">
        <v>731</v>
      </c>
      <c r="AO6" s="1">
        <v>46055</v>
      </c>
      <c r="AP6" s="1">
        <v>46082</v>
      </c>
      <c r="AQ6">
        <f t="shared" si="7"/>
        <v>27</v>
      </c>
      <c r="AR6" s="132">
        <f t="shared" si="8"/>
        <v>3.8571428571428572</v>
      </c>
      <c r="AS6" t="s">
        <v>839</v>
      </c>
      <c r="AT6" s="2" t="s">
        <v>1202</v>
      </c>
      <c r="AU6" s="2">
        <v>13.14</v>
      </c>
      <c r="AV6" t="s">
        <v>424</v>
      </c>
      <c r="AW6" s="1">
        <v>46041</v>
      </c>
      <c r="AX6" s="1">
        <v>46096</v>
      </c>
      <c r="AY6">
        <f t="shared" si="9"/>
        <v>55</v>
      </c>
      <c r="AZ6" s="132">
        <f t="shared" si="10"/>
        <v>7.8571428571428568</v>
      </c>
      <c r="BA6" t="s">
        <v>1279</v>
      </c>
      <c r="BB6" t="s">
        <v>1298</v>
      </c>
      <c r="BC6" s="222" t="s">
        <v>1074</v>
      </c>
      <c r="BD6" s="222">
        <v>25.29</v>
      </c>
      <c r="BE6" t="s">
        <v>471</v>
      </c>
      <c r="BF6" s="1">
        <v>46100</v>
      </c>
      <c r="BG6" s="1">
        <v>46145</v>
      </c>
      <c r="BH6">
        <f t="shared" si="11"/>
        <v>45</v>
      </c>
      <c r="BI6" s="132">
        <f t="shared" si="12"/>
        <v>6.4285714285714288</v>
      </c>
      <c r="BJ6" t="s">
        <v>1362</v>
      </c>
      <c r="BK6" t="s">
        <v>1363</v>
      </c>
      <c r="BL6" s="14" t="s">
        <v>1389</v>
      </c>
      <c r="BM6" s="14">
        <v>22.43</v>
      </c>
      <c r="BN6" t="s">
        <v>424</v>
      </c>
      <c r="BO6" s="1">
        <v>46093</v>
      </c>
      <c r="BP6" s="1">
        <v>46134</v>
      </c>
      <c r="BQ6">
        <f t="shared" si="20"/>
        <v>41</v>
      </c>
      <c r="BR6" s="132">
        <f t="shared" si="21"/>
        <v>5.8571428571428568</v>
      </c>
      <c r="BS6" t="s">
        <v>709</v>
      </c>
      <c r="BT6" t="s">
        <v>148</v>
      </c>
      <c r="BU6" s="222" t="s">
        <v>1410</v>
      </c>
      <c r="BV6" s="222">
        <v>36</v>
      </c>
      <c r="BW6" t="s">
        <v>471</v>
      </c>
      <c r="BX6" s="1">
        <v>46149</v>
      </c>
      <c r="BY6" s="1">
        <v>46190</v>
      </c>
      <c r="BZ6">
        <f t="shared" si="13"/>
        <v>41</v>
      </c>
      <c r="CA6" s="132">
        <f t="shared" si="14"/>
        <v>5.8571428571428568</v>
      </c>
      <c r="CB6" t="s">
        <v>905</v>
      </c>
      <c r="CC6" t="s">
        <v>171</v>
      </c>
      <c r="CD6" s="222" t="s">
        <v>1410</v>
      </c>
      <c r="CE6" s="222">
        <v>43.41</v>
      </c>
      <c r="CF6" t="s">
        <v>424</v>
      </c>
      <c r="CG6" s="1">
        <v>46174</v>
      </c>
      <c r="CH6" s="1">
        <v>46229</v>
      </c>
      <c r="CI6">
        <f t="shared" si="15"/>
        <v>55</v>
      </c>
      <c r="CJ6" s="132">
        <f t="shared" si="16"/>
        <v>7.8571428571428568</v>
      </c>
      <c r="CK6" t="s">
        <v>1387</v>
      </c>
      <c r="CL6" t="s">
        <v>233</v>
      </c>
      <c r="CM6" s="14" t="s">
        <v>1454</v>
      </c>
      <c r="CN6" s="14"/>
    </row>
    <row r="7" spans="1:92" x14ac:dyDescent="0.25">
      <c r="A7" t="s">
        <v>731</v>
      </c>
      <c r="B7" s="1">
        <v>45866</v>
      </c>
      <c r="C7" s="1">
        <v>45921</v>
      </c>
      <c r="D7">
        <f t="shared" si="0"/>
        <v>55</v>
      </c>
      <c r="E7" s="132">
        <f t="shared" si="1"/>
        <v>7.8571428571428568</v>
      </c>
      <c r="G7" t="s">
        <v>735</v>
      </c>
      <c r="H7" s="2" t="s">
        <v>862</v>
      </c>
      <c r="I7" t="s">
        <v>731</v>
      </c>
      <c r="J7" s="1">
        <v>45880</v>
      </c>
      <c r="K7" s="1">
        <v>45914</v>
      </c>
      <c r="L7">
        <f t="shared" si="17"/>
        <v>34</v>
      </c>
      <c r="M7" s="132">
        <f t="shared" si="18"/>
        <v>4.8571428571428568</v>
      </c>
      <c r="O7" t="s">
        <v>761</v>
      </c>
      <c r="P7" s="2" t="s">
        <v>854</v>
      </c>
      <c r="Q7" t="s">
        <v>751</v>
      </c>
      <c r="R7" s="1">
        <v>45936</v>
      </c>
      <c r="S7" s="1">
        <v>45964</v>
      </c>
      <c r="T7">
        <f t="shared" si="2"/>
        <v>28</v>
      </c>
      <c r="U7" s="132">
        <f t="shared" si="3"/>
        <v>4</v>
      </c>
      <c r="V7" t="s">
        <v>1065</v>
      </c>
      <c r="W7" s="2" t="s">
        <v>1063</v>
      </c>
      <c r="X7" t="s">
        <v>751</v>
      </c>
      <c r="Y7" s="1">
        <v>45976</v>
      </c>
      <c r="Z7" s="1">
        <v>46013</v>
      </c>
      <c r="AA7">
        <f t="shared" si="4"/>
        <v>37</v>
      </c>
      <c r="AB7" s="132">
        <f t="shared" si="19"/>
        <v>5.2857142857142856</v>
      </c>
      <c r="AC7" t="s">
        <v>1132</v>
      </c>
      <c r="AD7" s="2" t="s">
        <v>856</v>
      </c>
      <c r="AE7" s="2">
        <v>26.29</v>
      </c>
      <c r="AF7" t="s">
        <v>751</v>
      </c>
      <c r="AG7" s="1">
        <v>45989</v>
      </c>
      <c r="AH7" s="1">
        <v>45998</v>
      </c>
      <c r="AI7">
        <f t="shared" si="5"/>
        <v>9</v>
      </c>
      <c r="AJ7" s="132">
        <f t="shared" si="6"/>
        <v>1.2857142857142858</v>
      </c>
      <c r="AK7" t="s">
        <v>589</v>
      </c>
      <c r="AL7" s="14" t="s">
        <v>1202</v>
      </c>
      <c r="AM7" s="2">
        <v>11.57</v>
      </c>
      <c r="AN7" s="9" t="s">
        <v>731</v>
      </c>
      <c r="AO7" s="1">
        <v>46029</v>
      </c>
      <c r="AP7" s="1">
        <v>46055</v>
      </c>
      <c r="AQ7">
        <f t="shared" si="7"/>
        <v>26</v>
      </c>
      <c r="AR7" s="132">
        <f t="shared" si="8"/>
        <v>3.7142857142857144</v>
      </c>
      <c r="AS7" t="s">
        <v>741</v>
      </c>
      <c r="AT7" s="2" t="s">
        <v>1108</v>
      </c>
      <c r="AU7" s="2">
        <v>180.14</v>
      </c>
      <c r="AV7" t="s">
        <v>424</v>
      </c>
      <c r="AW7" s="1">
        <v>46041</v>
      </c>
      <c r="AX7" s="1">
        <v>46082</v>
      </c>
      <c r="AY7">
        <f t="shared" si="9"/>
        <v>41</v>
      </c>
      <c r="AZ7" s="132">
        <f t="shared" si="10"/>
        <v>5.8571428571428568</v>
      </c>
      <c r="BA7" t="s">
        <v>1283</v>
      </c>
      <c r="BB7" t="s">
        <v>148</v>
      </c>
      <c r="BC7" s="2" t="s">
        <v>1343</v>
      </c>
      <c r="BD7" s="2">
        <v>2.71</v>
      </c>
      <c r="BE7" t="s">
        <v>471</v>
      </c>
      <c r="BF7" s="1">
        <v>46066</v>
      </c>
      <c r="BG7" s="1">
        <v>46143</v>
      </c>
      <c r="BH7">
        <f t="shared" si="11"/>
        <v>77</v>
      </c>
      <c r="BI7" s="132">
        <f t="shared" si="12"/>
        <v>11</v>
      </c>
      <c r="BJ7" t="s">
        <v>1129</v>
      </c>
      <c r="BK7" t="s">
        <v>795</v>
      </c>
      <c r="BL7" s="239" t="s">
        <v>1108</v>
      </c>
      <c r="BM7" s="14">
        <f>SUM(BM2:BM6)</f>
        <v>264.14</v>
      </c>
      <c r="BN7" t="s">
        <v>424</v>
      </c>
      <c r="BO7" s="1">
        <v>46119</v>
      </c>
      <c r="BP7" s="1">
        <v>46178</v>
      </c>
      <c r="BQ7">
        <f t="shared" si="20"/>
        <v>59</v>
      </c>
      <c r="BR7" s="132">
        <f t="shared" si="21"/>
        <v>8.4285714285714288</v>
      </c>
      <c r="BS7" t="s">
        <v>768</v>
      </c>
      <c r="BT7" t="s">
        <v>244</v>
      </c>
      <c r="BU7" s="239" t="s">
        <v>1108</v>
      </c>
      <c r="BV7" s="14">
        <f>SUM(BV2:BV6)</f>
        <v>131.71</v>
      </c>
      <c r="BW7" t="s">
        <v>471</v>
      </c>
      <c r="BX7" s="1">
        <v>46140</v>
      </c>
      <c r="BY7" s="1">
        <v>46159</v>
      </c>
      <c r="BZ7">
        <f t="shared" si="13"/>
        <v>19</v>
      </c>
      <c r="CA7" s="132">
        <f t="shared" si="14"/>
        <v>2.7142857142857144</v>
      </c>
      <c r="CB7" t="s">
        <v>1437</v>
      </c>
      <c r="CC7" t="s">
        <v>1430</v>
      </c>
      <c r="CD7" s="239" t="s">
        <v>1108</v>
      </c>
      <c r="CE7" s="14">
        <f>SUM(CE2:CE6)</f>
        <v>179.41</v>
      </c>
      <c r="CF7" t="s">
        <v>424</v>
      </c>
      <c r="CG7" s="1">
        <v>46195</v>
      </c>
      <c r="CH7" s="1">
        <v>46208</v>
      </c>
      <c r="CI7">
        <f t="shared" si="15"/>
        <v>13</v>
      </c>
      <c r="CJ7" s="132">
        <f t="shared" si="16"/>
        <v>1.8571428571428572</v>
      </c>
      <c r="CK7" t="s">
        <v>768</v>
      </c>
      <c r="CL7" t="s">
        <v>131</v>
      </c>
      <c r="CM7" s="239" t="s">
        <v>1108</v>
      </c>
      <c r="CN7" s="14">
        <f>SUM(CN2:CN6)</f>
        <v>0</v>
      </c>
    </row>
    <row r="8" spans="1:92" x14ac:dyDescent="0.25">
      <c r="A8" t="s">
        <v>731</v>
      </c>
      <c r="B8" s="1">
        <v>45873</v>
      </c>
      <c r="C8" s="1">
        <v>45931</v>
      </c>
      <c r="D8">
        <f t="shared" si="0"/>
        <v>58</v>
      </c>
      <c r="E8" s="132">
        <f t="shared" si="1"/>
        <v>8.2857142857142865</v>
      </c>
      <c r="G8" t="s">
        <v>737</v>
      </c>
      <c r="H8" s="2" t="s">
        <v>863</v>
      </c>
      <c r="I8" t="s">
        <v>731</v>
      </c>
      <c r="J8" s="1">
        <v>45908</v>
      </c>
      <c r="K8" s="1">
        <v>45945</v>
      </c>
      <c r="L8">
        <f t="shared" si="17"/>
        <v>37</v>
      </c>
      <c r="M8" s="132">
        <f t="shared" si="18"/>
        <v>5.2857142857142856</v>
      </c>
      <c r="O8" t="s">
        <v>775</v>
      </c>
      <c r="P8" s="2" t="s">
        <v>855</v>
      </c>
      <c r="Q8" t="s">
        <v>731</v>
      </c>
      <c r="R8" s="1">
        <v>45922</v>
      </c>
      <c r="S8" s="1">
        <v>45955</v>
      </c>
      <c r="T8">
        <f t="shared" ref="T8:T13" si="22">_xlfn.DAYS(S8,R8)</f>
        <v>33</v>
      </c>
      <c r="U8" s="132">
        <f t="shared" ref="U8:U13" si="23">SUM(T8/7)</f>
        <v>4.7142857142857144</v>
      </c>
      <c r="V8" t="s">
        <v>900</v>
      </c>
      <c r="W8" s="2" t="s">
        <v>1074</v>
      </c>
      <c r="X8" s="152" t="s">
        <v>731</v>
      </c>
      <c r="Y8" s="153">
        <v>45947</v>
      </c>
      <c r="Z8" s="153">
        <v>45984</v>
      </c>
      <c r="AA8" s="152"/>
      <c r="AB8" s="154"/>
      <c r="AC8" s="152" t="s">
        <v>1080</v>
      </c>
      <c r="AD8" s="2" t="s">
        <v>1153</v>
      </c>
      <c r="AE8" s="2">
        <v>9.7100000000000009</v>
      </c>
      <c r="AF8" t="s">
        <v>731</v>
      </c>
      <c r="AG8" s="1">
        <v>45996</v>
      </c>
      <c r="AH8" s="1">
        <v>46037</v>
      </c>
      <c r="AI8">
        <f t="shared" si="5"/>
        <v>41</v>
      </c>
      <c r="AJ8" s="132">
        <f t="shared" si="6"/>
        <v>5.8571428571428568</v>
      </c>
      <c r="AK8" t="s">
        <v>1186</v>
      </c>
      <c r="AL8" s="14" t="s">
        <v>1157</v>
      </c>
      <c r="AM8" s="2"/>
      <c r="AN8" s="9" t="s">
        <v>731</v>
      </c>
      <c r="AO8" s="1">
        <v>46015</v>
      </c>
      <c r="AP8" s="1">
        <v>46097</v>
      </c>
      <c r="AQ8">
        <f t="shared" si="7"/>
        <v>82</v>
      </c>
      <c r="AR8" s="132">
        <f t="shared" si="8"/>
        <v>11.714285714285714</v>
      </c>
      <c r="AS8" t="s">
        <v>1246</v>
      </c>
      <c r="AT8" s="2" t="s">
        <v>1243</v>
      </c>
      <c r="AU8" s="222">
        <v>36.020000000000003</v>
      </c>
      <c r="AV8" t="s">
        <v>424</v>
      </c>
      <c r="AW8" s="1">
        <v>46077</v>
      </c>
      <c r="AX8" s="1">
        <v>46115</v>
      </c>
      <c r="AY8">
        <f t="shared" si="9"/>
        <v>38</v>
      </c>
      <c r="AZ8" s="132">
        <f t="shared" si="10"/>
        <v>5.4285714285714288</v>
      </c>
      <c r="BA8" t="s">
        <v>79</v>
      </c>
      <c r="BB8" t="s">
        <v>1299</v>
      </c>
      <c r="BC8" s="98" t="s">
        <v>1108</v>
      </c>
      <c r="BD8" s="2">
        <v>139.57</v>
      </c>
      <c r="BE8" t="s">
        <v>471</v>
      </c>
      <c r="BF8" s="1">
        <v>46097</v>
      </c>
      <c r="BG8" s="1">
        <v>46138</v>
      </c>
      <c r="BH8">
        <f t="shared" si="11"/>
        <v>41</v>
      </c>
      <c r="BI8" s="132">
        <f t="shared" si="12"/>
        <v>5.8571428571428568</v>
      </c>
      <c r="BJ8" t="s">
        <v>1371</v>
      </c>
      <c r="BK8" t="s">
        <v>138</v>
      </c>
      <c r="BL8" s="239" t="s">
        <v>1243</v>
      </c>
      <c r="BM8" s="232">
        <f>AVERAGE(BM2:BM6)</f>
        <v>52.827999999999996</v>
      </c>
      <c r="BN8" t="s">
        <v>424</v>
      </c>
      <c r="BO8" s="1">
        <v>46118</v>
      </c>
      <c r="BP8" s="1">
        <v>46145</v>
      </c>
      <c r="BQ8">
        <f t="shared" si="20"/>
        <v>27</v>
      </c>
      <c r="BR8" s="132">
        <f t="shared" si="21"/>
        <v>3.8571428571428572</v>
      </c>
      <c r="BS8" t="s">
        <v>893</v>
      </c>
      <c r="BT8" t="s">
        <v>233</v>
      </c>
      <c r="BU8" s="239" t="s">
        <v>1243</v>
      </c>
      <c r="BV8" s="232">
        <f>AVERAGE(BV2:BV6)</f>
        <v>26.342000000000002</v>
      </c>
      <c r="BW8" t="s">
        <v>471</v>
      </c>
      <c r="BX8" s="1">
        <v>46174</v>
      </c>
      <c r="BY8" s="1">
        <v>46187</v>
      </c>
      <c r="BZ8">
        <f t="shared" si="13"/>
        <v>13</v>
      </c>
      <c r="CA8" s="132">
        <f>SUM(BZ8/7)</f>
        <v>1.8571428571428572</v>
      </c>
      <c r="CB8" t="s">
        <v>1079</v>
      </c>
      <c r="CC8" t="s">
        <v>1441</v>
      </c>
      <c r="CD8" s="239" t="s">
        <v>1243</v>
      </c>
      <c r="CE8" s="232">
        <f>AVERAGE(CE2:CE6)</f>
        <v>35.881999999999998</v>
      </c>
      <c r="CF8" t="s">
        <v>424</v>
      </c>
      <c r="CG8" s="1">
        <v>46174</v>
      </c>
      <c r="CH8" s="1">
        <v>46257</v>
      </c>
      <c r="CI8">
        <f t="shared" si="15"/>
        <v>83</v>
      </c>
      <c r="CJ8" s="132">
        <f t="shared" si="16"/>
        <v>11.857142857142858</v>
      </c>
      <c r="CK8" t="s">
        <v>1467</v>
      </c>
      <c r="CL8" t="s">
        <v>1299</v>
      </c>
      <c r="CM8" s="239" t="s">
        <v>1243</v>
      </c>
      <c r="CN8" s="232" t="e">
        <f>AVERAGE(CN2:CN6)</f>
        <v>#DIV/0!</v>
      </c>
    </row>
    <row r="9" spans="1:92" x14ac:dyDescent="0.25">
      <c r="A9" t="s">
        <v>731</v>
      </c>
      <c r="B9" s="1">
        <v>45873</v>
      </c>
      <c r="C9" s="1">
        <v>45900</v>
      </c>
      <c r="D9">
        <f t="shared" si="0"/>
        <v>27</v>
      </c>
      <c r="E9" s="132">
        <f t="shared" si="1"/>
        <v>3.8571428571428572</v>
      </c>
      <c r="G9" t="s">
        <v>747</v>
      </c>
      <c r="H9" s="2" t="s">
        <v>992</v>
      </c>
      <c r="I9" t="s">
        <v>731</v>
      </c>
      <c r="J9" s="1">
        <v>45897</v>
      </c>
      <c r="K9" s="1">
        <v>45952</v>
      </c>
      <c r="L9">
        <f t="shared" si="17"/>
        <v>55</v>
      </c>
      <c r="M9" s="132">
        <f t="shared" si="18"/>
        <v>7.8571428571428568</v>
      </c>
      <c r="O9" t="s">
        <v>783</v>
      </c>
      <c r="P9" s="2" t="s">
        <v>856</v>
      </c>
      <c r="Q9" t="s">
        <v>731</v>
      </c>
      <c r="R9" s="1">
        <v>45929</v>
      </c>
      <c r="S9" s="1">
        <v>45984</v>
      </c>
      <c r="T9">
        <f t="shared" si="22"/>
        <v>55</v>
      </c>
      <c r="U9" s="132">
        <f t="shared" si="23"/>
        <v>7.8571428571428568</v>
      </c>
      <c r="V9" t="s">
        <v>906</v>
      </c>
      <c r="W9" s="2" t="s">
        <v>1075</v>
      </c>
      <c r="X9" t="s">
        <v>731</v>
      </c>
      <c r="Y9" s="1">
        <v>45978</v>
      </c>
      <c r="Z9" s="1">
        <v>46019</v>
      </c>
      <c r="AA9">
        <f t="shared" si="4"/>
        <v>41</v>
      </c>
      <c r="AB9" s="132">
        <f t="shared" si="19"/>
        <v>5.8571428571428568</v>
      </c>
      <c r="AC9" t="s">
        <v>1123</v>
      </c>
      <c r="AD9" s="2" t="s">
        <v>1089</v>
      </c>
      <c r="AE9" s="2">
        <v>216.14</v>
      </c>
      <c r="AF9" t="s">
        <v>731</v>
      </c>
      <c r="AG9" s="1">
        <v>45992</v>
      </c>
      <c r="AH9" s="1">
        <v>46047</v>
      </c>
      <c r="AI9">
        <f t="shared" si="5"/>
        <v>55</v>
      </c>
      <c r="AJ9" s="132">
        <f t="shared" si="6"/>
        <v>7.8571428571428568</v>
      </c>
      <c r="AK9" t="s">
        <v>1195</v>
      </c>
      <c r="AL9" s="14" t="s">
        <v>1089</v>
      </c>
      <c r="AM9" s="14">
        <f>SUM(AM2:AM8)</f>
        <v>137</v>
      </c>
      <c r="AN9" s="9" t="s">
        <v>731</v>
      </c>
      <c r="AO9" s="1">
        <v>46034</v>
      </c>
      <c r="AP9" s="1">
        <v>46112</v>
      </c>
      <c r="AQ9">
        <f t="shared" si="7"/>
        <v>78</v>
      </c>
      <c r="AR9" s="132">
        <f t="shared" si="8"/>
        <v>11.142857142857142</v>
      </c>
      <c r="AS9" t="s">
        <v>1247</v>
      </c>
      <c r="AT9" s="2" t="s">
        <v>1244</v>
      </c>
      <c r="AU9" s="222">
        <v>6</v>
      </c>
      <c r="AV9" t="s">
        <v>424</v>
      </c>
      <c r="AW9" s="1">
        <v>46062</v>
      </c>
      <c r="AX9" s="1">
        <v>46103</v>
      </c>
      <c r="AY9">
        <f t="shared" si="9"/>
        <v>41</v>
      </c>
      <c r="AZ9" s="132">
        <f t="shared" si="10"/>
        <v>5.8571428571428568</v>
      </c>
      <c r="BA9" t="s">
        <v>1340</v>
      </c>
      <c r="BB9" t="s">
        <v>1341</v>
      </c>
      <c r="BC9" s="98" t="s">
        <v>1243</v>
      </c>
      <c r="BD9" s="238">
        <f>AVERAGE(BD2:BD7)</f>
        <v>22.618333333333336</v>
      </c>
      <c r="BE9" t="s">
        <v>471</v>
      </c>
      <c r="BF9" s="1">
        <v>46076</v>
      </c>
      <c r="BG9" s="1">
        <v>46110</v>
      </c>
      <c r="BH9">
        <f t="shared" si="11"/>
        <v>34</v>
      </c>
      <c r="BI9" s="132">
        <f t="shared" si="12"/>
        <v>4.8571428571428568</v>
      </c>
      <c r="BJ9" s="16" t="s">
        <v>712</v>
      </c>
      <c r="BK9" t="s">
        <v>167</v>
      </c>
      <c r="BL9" s="239" t="s">
        <v>1344</v>
      </c>
      <c r="BM9" s="232">
        <f>SUM(40/5)</f>
        <v>8</v>
      </c>
      <c r="BN9" t="s">
        <v>424</v>
      </c>
      <c r="BO9" s="1">
        <v>46111</v>
      </c>
      <c r="BP9" s="1">
        <v>46140</v>
      </c>
      <c r="BQ9">
        <f t="shared" si="20"/>
        <v>29</v>
      </c>
      <c r="BR9" s="132">
        <f t="shared" si="21"/>
        <v>4.1428571428571432</v>
      </c>
      <c r="BS9" t="s">
        <v>1334</v>
      </c>
      <c r="BT9" t="s">
        <v>1400</v>
      </c>
      <c r="BU9" s="239" t="s">
        <v>1344</v>
      </c>
      <c r="BV9" s="232">
        <f>SUM(24/5)</f>
        <v>4.8</v>
      </c>
      <c r="BW9" t="s">
        <v>471</v>
      </c>
      <c r="BX9" s="1">
        <v>46146</v>
      </c>
      <c r="BY9" s="1">
        <v>46187</v>
      </c>
      <c r="BZ9">
        <f t="shared" si="13"/>
        <v>41</v>
      </c>
      <c r="CA9" s="132">
        <f t="shared" si="14"/>
        <v>5.8571428571428568</v>
      </c>
      <c r="CB9" t="s">
        <v>1442</v>
      </c>
      <c r="CC9" t="s">
        <v>1443</v>
      </c>
      <c r="CD9" s="239" t="s">
        <v>1344</v>
      </c>
      <c r="CE9" s="232">
        <f>SUM(32/5)</f>
        <v>6.4</v>
      </c>
      <c r="CF9" t="s">
        <v>424</v>
      </c>
      <c r="CG9" s="1">
        <v>46188</v>
      </c>
      <c r="CH9" s="1">
        <v>46243</v>
      </c>
      <c r="CI9">
        <f t="shared" si="15"/>
        <v>55</v>
      </c>
      <c r="CJ9" s="132">
        <f t="shared" si="16"/>
        <v>7.8571428571428568</v>
      </c>
      <c r="CK9" t="s">
        <v>1470</v>
      </c>
      <c r="CL9" t="s">
        <v>131</v>
      </c>
      <c r="CM9" s="239" t="s">
        <v>1344</v>
      </c>
      <c r="CN9" s="232"/>
    </row>
    <row r="10" spans="1:92" x14ac:dyDescent="0.25">
      <c r="A10" t="s">
        <v>716</v>
      </c>
      <c r="B10" s="1">
        <v>45859</v>
      </c>
      <c r="C10" s="1">
        <v>45886</v>
      </c>
      <c r="D10">
        <f t="shared" si="0"/>
        <v>27</v>
      </c>
      <c r="E10" s="132">
        <f t="shared" si="1"/>
        <v>3.8571428571428572</v>
      </c>
      <c r="G10" t="s">
        <v>709</v>
      </c>
      <c r="I10" t="s">
        <v>731</v>
      </c>
      <c r="J10" s="1">
        <v>45896</v>
      </c>
      <c r="K10" s="1">
        <v>45926</v>
      </c>
      <c r="L10">
        <f t="shared" si="17"/>
        <v>30</v>
      </c>
      <c r="M10" s="132">
        <f t="shared" si="18"/>
        <v>4.2857142857142856</v>
      </c>
      <c r="O10" t="s">
        <v>790</v>
      </c>
      <c r="P10" s="2" t="s">
        <v>991</v>
      </c>
      <c r="Q10" t="s">
        <v>731</v>
      </c>
      <c r="R10" s="1">
        <v>45929</v>
      </c>
      <c r="S10" s="1">
        <v>46004</v>
      </c>
      <c r="T10">
        <f t="shared" si="22"/>
        <v>75</v>
      </c>
      <c r="U10" s="132">
        <f t="shared" si="23"/>
        <v>10.714285714285714</v>
      </c>
      <c r="V10" t="s">
        <v>929</v>
      </c>
      <c r="X10" t="s">
        <v>731</v>
      </c>
      <c r="Y10" s="1">
        <v>45971</v>
      </c>
      <c r="Z10" s="1">
        <v>46013</v>
      </c>
      <c r="AA10">
        <f t="shared" si="4"/>
        <v>42</v>
      </c>
      <c r="AB10" s="132">
        <f t="shared" si="19"/>
        <v>6</v>
      </c>
      <c r="AC10" t="s">
        <v>1137</v>
      </c>
      <c r="AD10" s="2" t="s">
        <v>1151</v>
      </c>
      <c r="AE10" s="222">
        <v>30.88</v>
      </c>
      <c r="AF10" t="s">
        <v>716</v>
      </c>
      <c r="AG10" s="1">
        <v>45971</v>
      </c>
      <c r="AH10" s="1">
        <v>45989</v>
      </c>
      <c r="AI10">
        <f t="shared" si="5"/>
        <v>18</v>
      </c>
      <c r="AJ10" s="132">
        <f t="shared" si="6"/>
        <v>2.5714285714285716</v>
      </c>
      <c r="AK10" t="s">
        <v>1161</v>
      </c>
      <c r="AL10" s="14" t="s">
        <v>1151</v>
      </c>
      <c r="AM10" s="222">
        <v>22.83</v>
      </c>
      <c r="AN10" s="9" t="s">
        <v>731</v>
      </c>
      <c r="AO10" s="1">
        <v>46037</v>
      </c>
      <c r="AP10" s="1">
        <v>46092</v>
      </c>
      <c r="AQ10">
        <f t="shared" si="7"/>
        <v>55</v>
      </c>
      <c r="AR10" s="132">
        <f t="shared" si="8"/>
        <v>7.8571428571428568</v>
      </c>
      <c r="AS10" t="s">
        <v>1248</v>
      </c>
      <c r="AV10" t="s">
        <v>589</v>
      </c>
      <c r="AW10" s="1">
        <v>46034</v>
      </c>
      <c r="AX10" s="1">
        <v>46061</v>
      </c>
      <c r="AY10">
        <f t="shared" ref="AY10:AY34" si="24">_xlfn.DAYS(AX10,AW10)</f>
        <v>27</v>
      </c>
      <c r="AZ10" s="132">
        <f t="shared" si="10"/>
        <v>3.8571428571428572</v>
      </c>
      <c r="BA10" t="s">
        <v>1266</v>
      </c>
      <c r="BB10" t="s">
        <v>131</v>
      </c>
      <c r="BC10" s="98" t="s">
        <v>1344</v>
      </c>
      <c r="BD10" s="194">
        <f>SUM(25/6)</f>
        <v>4.166666666666667</v>
      </c>
      <c r="BE10" t="s">
        <v>471</v>
      </c>
      <c r="BF10" s="1">
        <v>46078</v>
      </c>
      <c r="BG10" s="1">
        <v>46096</v>
      </c>
      <c r="BH10">
        <f t="shared" si="11"/>
        <v>18</v>
      </c>
      <c r="BI10" s="132">
        <f t="shared" si="12"/>
        <v>2.5714285714285716</v>
      </c>
      <c r="BJ10" s="16" t="s">
        <v>1384</v>
      </c>
      <c r="BK10" t="s">
        <v>1092</v>
      </c>
      <c r="BN10" t="s">
        <v>424</v>
      </c>
      <c r="BO10" s="1">
        <v>46118</v>
      </c>
      <c r="BP10" s="1">
        <v>46159</v>
      </c>
      <c r="BQ10">
        <f t="shared" si="20"/>
        <v>41</v>
      </c>
      <c r="BR10" s="132">
        <f t="shared" si="21"/>
        <v>5.8571428571428568</v>
      </c>
      <c r="BS10" t="s">
        <v>1397</v>
      </c>
      <c r="BT10" t="s">
        <v>233</v>
      </c>
      <c r="BW10" t="s">
        <v>471</v>
      </c>
      <c r="BX10" s="1">
        <v>46142</v>
      </c>
      <c r="BY10" s="1">
        <v>46178</v>
      </c>
      <c r="BZ10">
        <f t="shared" si="13"/>
        <v>36</v>
      </c>
      <c r="CA10" s="132">
        <f t="shared" si="14"/>
        <v>5.1428571428571432</v>
      </c>
      <c r="CB10" t="s">
        <v>1444</v>
      </c>
      <c r="CC10" t="s">
        <v>1445</v>
      </c>
      <c r="CF10" t="s">
        <v>1030</v>
      </c>
      <c r="CG10" s="1">
        <v>46155</v>
      </c>
      <c r="CH10" s="1">
        <v>46189</v>
      </c>
      <c r="CI10">
        <f t="shared" si="15"/>
        <v>34</v>
      </c>
      <c r="CJ10" s="132">
        <f t="shared" si="16"/>
        <v>4.8571428571428568</v>
      </c>
      <c r="CK10" t="s">
        <v>1464</v>
      </c>
      <c r="CL10" t="s">
        <v>804</v>
      </c>
    </row>
    <row r="11" spans="1:92" x14ac:dyDescent="0.25">
      <c r="A11" t="s">
        <v>716</v>
      </c>
      <c r="B11" s="1">
        <v>45866</v>
      </c>
      <c r="C11" s="1">
        <v>45893</v>
      </c>
      <c r="D11">
        <f t="shared" si="0"/>
        <v>27</v>
      </c>
      <c r="E11" s="132">
        <f t="shared" si="1"/>
        <v>3.8571428571428572</v>
      </c>
      <c r="G11" t="s">
        <v>739</v>
      </c>
      <c r="H11" t="s">
        <v>1096</v>
      </c>
      <c r="I11" t="s">
        <v>731</v>
      </c>
      <c r="J11" s="1">
        <v>45908</v>
      </c>
      <c r="K11" s="1">
        <v>45938</v>
      </c>
      <c r="L11">
        <f t="shared" si="17"/>
        <v>30</v>
      </c>
      <c r="M11" s="132">
        <f t="shared" si="18"/>
        <v>4.2857142857142856</v>
      </c>
      <c r="O11" t="s">
        <v>835</v>
      </c>
      <c r="Q11" t="s">
        <v>731</v>
      </c>
      <c r="R11" s="1">
        <v>45929</v>
      </c>
      <c r="S11" s="1">
        <v>45956</v>
      </c>
      <c r="T11">
        <f t="shared" si="22"/>
        <v>27</v>
      </c>
      <c r="U11" s="132">
        <f t="shared" si="23"/>
        <v>3.8571428571428572</v>
      </c>
      <c r="V11" t="s">
        <v>1053</v>
      </c>
      <c r="W11" t="s">
        <v>1105</v>
      </c>
      <c r="X11" t="s">
        <v>731</v>
      </c>
      <c r="Y11" s="1">
        <v>45999</v>
      </c>
      <c r="Z11" s="1">
        <v>46040</v>
      </c>
      <c r="AA11">
        <f t="shared" si="4"/>
        <v>41</v>
      </c>
      <c r="AB11" s="132">
        <f t="shared" si="19"/>
        <v>5.8571428571428568</v>
      </c>
      <c r="AC11" t="s">
        <v>1013</v>
      </c>
      <c r="AD11" s="2" t="s">
        <v>1152</v>
      </c>
      <c r="AE11" s="222">
        <v>5.43</v>
      </c>
      <c r="AF11" t="s">
        <v>716</v>
      </c>
      <c r="AG11" s="1">
        <v>45974</v>
      </c>
      <c r="AH11" s="1">
        <v>45992</v>
      </c>
      <c r="AI11">
        <f t="shared" si="5"/>
        <v>18</v>
      </c>
      <c r="AJ11" s="132">
        <f t="shared" si="6"/>
        <v>2.5714285714285716</v>
      </c>
      <c r="AK11" t="s">
        <v>1166</v>
      </c>
      <c r="AL11" s="2" t="s">
        <v>1152</v>
      </c>
      <c r="AM11" s="222">
        <v>4.16</v>
      </c>
      <c r="AN11" t="s">
        <v>716</v>
      </c>
      <c r="AO11" s="1">
        <v>45999</v>
      </c>
      <c r="AP11" s="1">
        <v>46020</v>
      </c>
      <c r="AQ11">
        <f t="shared" si="7"/>
        <v>21</v>
      </c>
      <c r="AR11">
        <f t="shared" si="8"/>
        <v>3</v>
      </c>
      <c r="AS11" t="s">
        <v>1211</v>
      </c>
      <c r="AV11" t="s">
        <v>589</v>
      </c>
      <c r="AW11" s="1">
        <v>46055</v>
      </c>
      <c r="AX11" s="1">
        <v>46103</v>
      </c>
      <c r="AY11">
        <f t="shared" si="24"/>
        <v>48</v>
      </c>
      <c r="AZ11" s="132">
        <f t="shared" si="10"/>
        <v>6.8571428571428568</v>
      </c>
      <c r="BA11" t="s">
        <v>1280</v>
      </c>
      <c r="BB11" t="s">
        <v>1297</v>
      </c>
      <c r="BE11" t="s">
        <v>471</v>
      </c>
      <c r="BF11" s="1">
        <v>46111</v>
      </c>
      <c r="BG11" s="1">
        <v>46180</v>
      </c>
      <c r="BH11">
        <f t="shared" si="11"/>
        <v>69</v>
      </c>
      <c r="BI11" s="132">
        <f t="shared" si="12"/>
        <v>9.8571428571428577</v>
      </c>
      <c r="BJ11" s="16" t="s">
        <v>1369</v>
      </c>
      <c r="BK11" t="s">
        <v>244</v>
      </c>
      <c r="BL11" s="6" t="s">
        <v>794</v>
      </c>
      <c r="BN11" t="s">
        <v>424</v>
      </c>
      <c r="BO11" s="1">
        <v>46107</v>
      </c>
      <c r="BP11" s="1">
        <v>46125</v>
      </c>
      <c r="BQ11">
        <f t="shared" si="20"/>
        <v>18</v>
      </c>
      <c r="BR11" s="132">
        <f t="shared" si="21"/>
        <v>2.5714285714285716</v>
      </c>
      <c r="BS11" t="s">
        <v>1404</v>
      </c>
      <c r="BT11" t="s">
        <v>134</v>
      </c>
      <c r="BU11" s="6" t="s">
        <v>794</v>
      </c>
      <c r="BW11" t="s">
        <v>471</v>
      </c>
      <c r="BX11" s="1">
        <v>46153</v>
      </c>
      <c r="BY11" s="1">
        <v>46201</v>
      </c>
      <c r="BZ11">
        <f t="shared" si="13"/>
        <v>48</v>
      </c>
      <c r="CA11" s="132">
        <f t="shared" si="14"/>
        <v>6.8571428571428568</v>
      </c>
      <c r="CB11" t="s">
        <v>1446</v>
      </c>
      <c r="CC11" t="s">
        <v>131</v>
      </c>
      <c r="CD11" s="6" t="s">
        <v>794</v>
      </c>
      <c r="CF11" t="s">
        <v>1030</v>
      </c>
      <c r="CG11" s="1">
        <v>46148</v>
      </c>
      <c r="CH11" s="1">
        <v>46173</v>
      </c>
      <c r="CI11">
        <f t="shared" ref="CI11:CI17" si="25">_xlfn.DAYS(CH11,CG11)</f>
        <v>25</v>
      </c>
      <c r="CJ11" s="132">
        <f t="shared" ref="CJ11:CJ17" si="26">SUM(CI11/7)</f>
        <v>3.5714285714285716</v>
      </c>
      <c r="CK11" t="s">
        <v>1462</v>
      </c>
      <c r="CL11" t="s">
        <v>1092</v>
      </c>
      <c r="CM11" s="6" t="s">
        <v>794</v>
      </c>
    </row>
    <row r="12" spans="1:92" x14ac:dyDescent="0.25">
      <c r="A12" t="s">
        <v>716</v>
      </c>
      <c r="B12" s="1">
        <v>45870</v>
      </c>
      <c r="C12" s="1">
        <v>45911</v>
      </c>
      <c r="D12">
        <f t="shared" si="0"/>
        <v>41</v>
      </c>
      <c r="E12" s="132">
        <f t="shared" si="1"/>
        <v>5.8571428571428568</v>
      </c>
      <c r="G12" t="s">
        <v>717</v>
      </c>
      <c r="H12" t="s">
        <v>1097</v>
      </c>
      <c r="I12" t="s">
        <v>716</v>
      </c>
      <c r="J12" s="1">
        <v>45901</v>
      </c>
      <c r="K12" s="1">
        <v>45942</v>
      </c>
      <c r="L12">
        <f t="shared" si="17"/>
        <v>41</v>
      </c>
      <c r="M12" s="132">
        <f t="shared" si="18"/>
        <v>5.8571428571428568</v>
      </c>
      <c r="O12" t="s">
        <v>760</v>
      </c>
      <c r="P12" t="s">
        <v>1101</v>
      </c>
      <c r="Q12" t="s">
        <v>731</v>
      </c>
      <c r="R12" s="1">
        <v>45929</v>
      </c>
      <c r="S12" s="1">
        <v>45956</v>
      </c>
      <c r="T12">
        <f t="shared" si="22"/>
        <v>27</v>
      </c>
      <c r="U12" s="132">
        <f t="shared" si="23"/>
        <v>3.8571428571428572</v>
      </c>
      <c r="V12" t="s">
        <v>1054</v>
      </c>
      <c r="W12" t="s">
        <v>1106</v>
      </c>
      <c r="X12" t="s">
        <v>731</v>
      </c>
      <c r="Y12" s="1">
        <v>45964</v>
      </c>
      <c r="Z12" s="1">
        <v>45974</v>
      </c>
      <c r="AA12">
        <f t="shared" si="4"/>
        <v>10</v>
      </c>
      <c r="AB12" s="132">
        <f t="shared" si="19"/>
        <v>1.4285714285714286</v>
      </c>
      <c r="AC12" t="s">
        <v>1148</v>
      </c>
      <c r="AF12" s="152" t="s">
        <v>716</v>
      </c>
      <c r="AG12" s="153">
        <v>46000</v>
      </c>
      <c r="AH12" s="153">
        <v>46117</v>
      </c>
      <c r="AI12" s="152">
        <f t="shared" si="5"/>
        <v>117</v>
      </c>
      <c r="AJ12" s="154"/>
      <c r="AK12" s="152" t="s">
        <v>1180</v>
      </c>
      <c r="AN12" s="9" t="s">
        <v>716</v>
      </c>
      <c r="AO12" s="1">
        <v>46013</v>
      </c>
      <c r="AP12" s="1">
        <v>46047</v>
      </c>
      <c r="AQ12">
        <f t="shared" si="7"/>
        <v>34</v>
      </c>
      <c r="AR12" s="132">
        <f t="shared" si="8"/>
        <v>4.8571428571428568</v>
      </c>
      <c r="AS12" t="s">
        <v>1219</v>
      </c>
      <c r="AV12" t="s">
        <v>589</v>
      </c>
      <c r="AW12" s="1">
        <v>46084</v>
      </c>
      <c r="AX12" s="1">
        <v>46125</v>
      </c>
      <c r="AY12">
        <f t="shared" si="24"/>
        <v>41</v>
      </c>
      <c r="AZ12" s="132">
        <f t="shared" si="10"/>
        <v>5.8571428571428568</v>
      </c>
      <c r="BA12" t="s">
        <v>1335</v>
      </c>
      <c r="BB12" t="s">
        <v>1299</v>
      </c>
      <c r="BC12" s="6" t="s">
        <v>794</v>
      </c>
      <c r="BE12" t="s">
        <v>471</v>
      </c>
      <c r="BF12" s="1">
        <v>46111</v>
      </c>
      <c r="BG12" s="1">
        <v>46180</v>
      </c>
      <c r="BH12">
        <f t="shared" si="11"/>
        <v>69</v>
      </c>
      <c r="BI12" s="132">
        <f t="shared" si="12"/>
        <v>9.8571428571428577</v>
      </c>
      <c r="BJ12" s="16" t="s">
        <v>1386</v>
      </c>
      <c r="BK12" t="s">
        <v>244</v>
      </c>
      <c r="BL12" s="2" t="s">
        <v>131</v>
      </c>
      <c r="BM12" s="2">
        <v>7</v>
      </c>
      <c r="BN12" t="s">
        <v>1030</v>
      </c>
      <c r="BO12" s="1">
        <v>46125</v>
      </c>
      <c r="BP12" s="1">
        <v>46178</v>
      </c>
      <c r="BQ12">
        <f t="shared" si="20"/>
        <v>53</v>
      </c>
      <c r="BR12" s="132">
        <f t="shared" si="21"/>
        <v>7.5714285714285712</v>
      </c>
      <c r="BS12" t="s">
        <v>1395</v>
      </c>
      <c r="BT12" t="s">
        <v>244</v>
      </c>
      <c r="BU12" s="2" t="s">
        <v>131</v>
      </c>
      <c r="BV12" s="2">
        <v>2</v>
      </c>
      <c r="BW12" t="s">
        <v>424</v>
      </c>
      <c r="BX12" s="1">
        <v>46201</v>
      </c>
      <c r="BY12" s="1">
        <v>46257</v>
      </c>
      <c r="BZ12">
        <f t="shared" si="13"/>
        <v>56</v>
      </c>
      <c r="CA12" s="132">
        <f t="shared" si="14"/>
        <v>8</v>
      </c>
      <c r="CB12" t="s">
        <v>1415</v>
      </c>
      <c r="CC12" t="s">
        <v>1093</v>
      </c>
      <c r="CD12" s="2" t="s">
        <v>131</v>
      </c>
      <c r="CE12" s="2">
        <v>8</v>
      </c>
      <c r="CF12" t="s">
        <v>1030</v>
      </c>
      <c r="CG12" s="1">
        <v>46195</v>
      </c>
      <c r="CH12" s="1">
        <v>46229</v>
      </c>
      <c r="CI12">
        <f t="shared" si="25"/>
        <v>34</v>
      </c>
      <c r="CJ12" s="132">
        <f t="shared" si="26"/>
        <v>4.8571428571428568</v>
      </c>
      <c r="CK12" t="s">
        <v>1180</v>
      </c>
      <c r="CL12" t="s">
        <v>134</v>
      </c>
      <c r="CM12" s="2" t="s">
        <v>131</v>
      </c>
      <c r="CN12" s="2"/>
    </row>
    <row r="13" spans="1:92" x14ac:dyDescent="0.25">
      <c r="A13" t="s">
        <v>716</v>
      </c>
      <c r="B13" s="1">
        <v>45886</v>
      </c>
      <c r="C13" s="1">
        <v>45970</v>
      </c>
      <c r="D13">
        <f t="shared" si="0"/>
        <v>84</v>
      </c>
      <c r="E13" s="132">
        <f t="shared" si="1"/>
        <v>12</v>
      </c>
      <c r="G13" t="s">
        <v>740</v>
      </c>
      <c r="H13" t="s">
        <v>1098</v>
      </c>
      <c r="I13" t="s">
        <v>716</v>
      </c>
      <c r="J13" s="1">
        <v>45897</v>
      </c>
      <c r="K13" s="1">
        <v>45938</v>
      </c>
      <c r="L13">
        <f t="shared" si="17"/>
        <v>41</v>
      </c>
      <c r="M13" s="132">
        <f t="shared" si="18"/>
        <v>5.8571428571428568</v>
      </c>
      <c r="O13" t="s">
        <v>768</v>
      </c>
      <c r="P13" t="s">
        <v>1100</v>
      </c>
      <c r="Q13" t="s">
        <v>701</v>
      </c>
      <c r="R13" s="1">
        <v>45917</v>
      </c>
      <c r="S13" s="1">
        <v>45958</v>
      </c>
      <c r="T13">
        <f t="shared" si="22"/>
        <v>41</v>
      </c>
      <c r="U13" s="132">
        <f t="shared" si="23"/>
        <v>5.8571428571428568</v>
      </c>
      <c r="V13" t="s">
        <v>901</v>
      </c>
      <c r="W13" t="s">
        <v>1107</v>
      </c>
      <c r="X13" t="s">
        <v>716</v>
      </c>
      <c r="Y13" s="1">
        <v>46006</v>
      </c>
      <c r="Z13" s="1">
        <v>46054</v>
      </c>
      <c r="AA13">
        <f t="shared" si="4"/>
        <v>48</v>
      </c>
      <c r="AB13" s="132">
        <f t="shared" si="19"/>
        <v>6.8571428571428568</v>
      </c>
      <c r="AC13" t="s">
        <v>84</v>
      </c>
      <c r="AE13" s="132"/>
      <c r="AF13" t="s">
        <v>716</v>
      </c>
      <c r="AG13" s="1">
        <v>46006</v>
      </c>
      <c r="AH13" s="1">
        <v>46047</v>
      </c>
      <c r="AI13">
        <f t="shared" si="5"/>
        <v>41</v>
      </c>
      <c r="AJ13" s="132">
        <f t="shared" si="6"/>
        <v>5.8571428571428568</v>
      </c>
      <c r="AK13" t="s">
        <v>1185</v>
      </c>
      <c r="AN13" s="9" t="s">
        <v>716</v>
      </c>
      <c r="AO13" s="1">
        <v>46020</v>
      </c>
      <c r="AP13" s="1">
        <v>46045</v>
      </c>
      <c r="AQ13">
        <f t="shared" si="7"/>
        <v>25</v>
      </c>
      <c r="AR13" s="132">
        <f t="shared" si="8"/>
        <v>3.5714285714285716</v>
      </c>
      <c r="AS13" t="s">
        <v>1235</v>
      </c>
      <c r="AV13" t="s">
        <v>999</v>
      </c>
      <c r="AW13" s="1">
        <v>46033</v>
      </c>
      <c r="AX13" s="1">
        <v>46060</v>
      </c>
      <c r="AY13">
        <f t="shared" si="24"/>
        <v>27</v>
      </c>
      <c r="AZ13" s="132">
        <f t="shared" si="10"/>
        <v>3.8571428571428572</v>
      </c>
      <c r="BA13" t="s">
        <v>1278</v>
      </c>
      <c r="BB13" t="s">
        <v>175</v>
      </c>
      <c r="BC13" s="2" t="s">
        <v>131</v>
      </c>
      <c r="BD13" s="2">
        <v>5</v>
      </c>
      <c r="BE13" t="s">
        <v>424</v>
      </c>
      <c r="BF13" s="1">
        <v>46062</v>
      </c>
      <c r="BG13" s="1">
        <v>46110</v>
      </c>
      <c r="BH13">
        <f t="shared" ref="BH13:BH41" si="27">_xlfn.DAYS(BG13,BF13)</f>
        <v>48</v>
      </c>
      <c r="BI13" s="132">
        <f t="shared" si="12"/>
        <v>6.8571428571428568</v>
      </c>
      <c r="BJ13" t="s">
        <v>73</v>
      </c>
      <c r="BK13" t="s">
        <v>1347</v>
      </c>
      <c r="BL13" s="2" t="s">
        <v>171</v>
      </c>
      <c r="BM13" s="2">
        <v>8</v>
      </c>
      <c r="BN13" t="s">
        <v>1030</v>
      </c>
      <c r="BO13" s="1">
        <v>46100</v>
      </c>
      <c r="BP13" s="1">
        <v>46124</v>
      </c>
      <c r="BQ13">
        <f t="shared" si="20"/>
        <v>24</v>
      </c>
      <c r="BR13" s="132">
        <f t="shared" si="21"/>
        <v>3.4285714285714284</v>
      </c>
      <c r="BS13" t="s">
        <v>1143</v>
      </c>
      <c r="BT13" t="s">
        <v>131</v>
      </c>
      <c r="BU13" s="2" t="s">
        <v>171</v>
      </c>
      <c r="BV13" s="2">
        <v>4</v>
      </c>
      <c r="BW13" t="s">
        <v>424</v>
      </c>
      <c r="BX13" s="1">
        <v>46132</v>
      </c>
      <c r="BY13" s="1">
        <v>46166</v>
      </c>
      <c r="BZ13">
        <f t="shared" si="13"/>
        <v>34</v>
      </c>
      <c r="CA13" s="132">
        <f t="shared" si="14"/>
        <v>4.8571428571428568</v>
      </c>
      <c r="CB13" t="s">
        <v>1416</v>
      </c>
      <c r="CC13" t="s">
        <v>148</v>
      </c>
      <c r="CD13" s="2" t="s">
        <v>171</v>
      </c>
      <c r="CE13" s="2">
        <v>16</v>
      </c>
      <c r="CF13" t="s">
        <v>1469</v>
      </c>
      <c r="CG13" s="1">
        <v>46157</v>
      </c>
      <c r="CH13" s="1">
        <v>46208</v>
      </c>
      <c r="CI13">
        <f t="shared" si="25"/>
        <v>51</v>
      </c>
      <c r="CJ13" s="132">
        <f t="shared" si="26"/>
        <v>7.2857142857142856</v>
      </c>
      <c r="CK13" t="s">
        <v>1283</v>
      </c>
      <c r="CL13" t="s">
        <v>131</v>
      </c>
      <c r="CM13" s="2" t="s">
        <v>171</v>
      </c>
      <c r="CN13" s="2"/>
    </row>
    <row r="14" spans="1:92" x14ac:dyDescent="0.25">
      <c r="A14" t="s">
        <v>716</v>
      </c>
      <c r="B14" s="1">
        <v>45873</v>
      </c>
      <c r="C14" s="1">
        <v>45914</v>
      </c>
      <c r="D14">
        <f t="shared" si="0"/>
        <v>41</v>
      </c>
      <c r="E14" s="132">
        <f t="shared" si="1"/>
        <v>5.8571428571428568</v>
      </c>
      <c r="G14" t="s">
        <v>742</v>
      </c>
      <c r="H14" t="s">
        <v>1099</v>
      </c>
      <c r="I14" t="s">
        <v>716</v>
      </c>
      <c r="J14" s="1">
        <v>45894</v>
      </c>
      <c r="K14" s="1">
        <v>45935</v>
      </c>
      <c r="L14">
        <f t="shared" si="17"/>
        <v>41</v>
      </c>
      <c r="M14" s="132">
        <f t="shared" si="18"/>
        <v>5.8571428571428568</v>
      </c>
      <c r="O14" t="s">
        <v>776</v>
      </c>
      <c r="P14" t="s">
        <v>1102</v>
      </c>
      <c r="Q14" t="s">
        <v>701</v>
      </c>
      <c r="R14" s="1">
        <v>45938</v>
      </c>
      <c r="S14" s="1">
        <v>45975</v>
      </c>
      <c r="T14">
        <f t="shared" ref="T14:T25" si="28">_xlfn.DAYS(S14,R14)</f>
        <v>37</v>
      </c>
      <c r="U14" s="132">
        <f t="shared" ref="U14:U42" si="29">SUM(T14/7)</f>
        <v>5.2857142857142856</v>
      </c>
      <c r="V14" t="s">
        <v>893</v>
      </c>
      <c r="W14" t="s">
        <v>1104</v>
      </c>
      <c r="X14" t="s">
        <v>716</v>
      </c>
      <c r="Y14" s="1">
        <v>45964</v>
      </c>
      <c r="Z14" s="1">
        <v>45991</v>
      </c>
      <c r="AA14">
        <f t="shared" si="4"/>
        <v>27</v>
      </c>
      <c r="AB14" s="132">
        <f t="shared" si="19"/>
        <v>3.8571428571428572</v>
      </c>
      <c r="AC14" t="s">
        <v>1088</v>
      </c>
      <c r="AF14" t="s">
        <v>716</v>
      </c>
      <c r="AG14" s="1">
        <v>46013</v>
      </c>
      <c r="AH14" s="1">
        <v>46047</v>
      </c>
      <c r="AI14">
        <f t="shared" si="5"/>
        <v>34</v>
      </c>
      <c r="AJ14" s="132">
        <f t="shared" si="6"/>
        <v>4.8571428571428568</v>
      </c>
      <c r="AK14" t="s">
        <v>735</v>
      </c>
      <c r="AN14" s="9" t="s">
        <v>716</v>
      </c>
      <c r="AO14" s="1">
        <v>46049</v>
      </c>
      <c r="AP14" s="1">
        <v>46068</v>
      </c>
      <c r="AQ14">
        <f t="shared" si="7"/>
        <v>19</v>
      </c>
      <c r="AR14" s="132">
        <f t="shared" si="8"/>
        <v>2.7142857142857144</v>
      </c>
      <c r="AS14" t="s">
        <v>703</v>
      </c>
      <c r="AV14" t="s">
        <v>999</v>
      </c>
      <c r="AW14" s="1">
        <v>46049</v>
      </c>
      <c r="AX14" s="1">
        <v>46090</v>
      </c>
      <c r="AY14">
        <f t="shared" si="24"/>
        <v>41</v>
      </c>
      <c r="AZ14" s="132">
        <f t="shared" si="10"/>
        <v>5.8571428571428568</v>
      </c>
      <c r="BA14" t="s">
        <v>836</v>
      </c>
      <c r="BB14" t="s">
        <v>138</v>
      </c>
      <c r="BC14" s="2" t="s">
        <v>171</v>
      </c>
      <c r="BD14" s="2">
        <v>10</v>
      </c>
      <c r="BE14" t="s">
        <v>424</v>
      </c>
      <c r="BF14" s="1">
        <v>46097</v>
      </c>
      <c r="BG14" s="1">
        <v>46124</v>
      </c>
      <c r="BH14">
        <f t="shared" si="27"/>
        <v>27</v>
      </c>
      <c r="BI14" s="132">
        <f t="shared" si="12"/>
        <v>3.8571428571428572</v>
      </c>
      <c r="BJ14" t="s">
        <v>1367</v>
      </c>
      <c r="BK14" t="s">
        <v>1368</v>
      </c>
      <c r="BL14" s="2" t="s">
        <v>233</v>
      </c>
      <c r="BM14" s="2">
        <v>5</v>
      </c>
      <c r="BN14" t="s">
        <v>1030</v>
      </c>
      <c r="BO14" s="1">
        <v>46153</v>
      </c>
      <c r="BP14" s="1">
        <v>46188</v>
      </c>
      <c r="BQ14">
        <f t="shared" si="20"/>
        <v>35</v>
      </c>
      <c r="BR14" s="132">
        <f t="shared" si="21"/>
        <v>5</v>
      </c>
      <c r="BS14" t="s">
        <v>1405</v>
      </c>
      <c r="BT14" t="s">
        <v>233</v>
      </c>
      <c r="BU14" s="2" t="s">
        <v>233</v>
      </c>
      <c r="BV14" s="2">
        <v>7</v>
      </c>
      <c r="BW14" t="s">
        <v>424</v>
      </c>
      <c r="BX14" s="1">
        <v>46136</v>
      </c>
      <c r="BY14" s="1">
        <v>46164</v>
      </c>
      <c r="BZ14">
        <f t="shared" si="13"/>
        <v>28</v>
      </c>
      <c r="CA14" s="132">
        <f t="shared" si="14"/>
        <v>4</v>
      </c>
      <c r="CB14" t="s">
        <v>774</v>
      </c>
      <c r="CC14" t="s">
        <v>131</v>
      </c>
      <c r="CD14" s="2" t="s">
        <v>233</v>
      </c>
      <c r="CE14" s="2">
        <v>2</v>
      </c>
      <c r="CF14" t="s">
        <v>415</v>
      </c>
      <c r="CG14" s="1">
        <v>46156</v>
      </c>
      <c r="CH14" s="1">
        <v>46182</v>
      </c>
      <c r="CI14">
        <f t="shared" si="25"/>
        <v>26</v>
      </c>
      <c r="CJ14" s="132">
        <f t="shared" si="26"/>
        <v>3.7142857142857144</v>
      </c>
      <c r="CK14" t="s">
        <v>729</v>
      </c>
      <c r="CL14" t="s">
        <v>131</v>
      </c>
      <c r="CM14" s="2" t="s">
        <v>233</v>
      </c>
      <c r="CN14" s="2"/>
    </row>
    <row r="15" spans="1:92" x14ac:dyDescent="0.25">
      <c r="A15" t="s">
        <v>716</v>
      </c>
      <c r="B15" s="1">
        <v>45883</v>
      </c>
      <c r="C15" s="1">
        <v>45924</v>
      </c>
      <c r="D15">
        <f t="shared" si="0"/>
        <v>41</v>
      </c>
      <c r="E15" s="132">
        <f t="shared" si="1"/>
        <v>5.8571428571428568</v>
      </c>
      <c r="G15" t="s">
        <v>746</v>
      </c>
      <c r="I15" t="s">
        <v>716</v>
      </c>
      <c r="J15" s="1">
        <v>45894</v>
      </c>
      <c r="K15" s="1">
        <v>45949</v>
      </c>
      <c r="L15">
        <f t="shared" si="17"/>
        <v>55</v>
      </c>
      <c r="M15" s="132">
        <f t="shared" si="18"/>
        <v>7.8571428571428568</v>
      </c>
      <c r="O15" t="s">
        <v>784</v>
      </c>
      <c r="P15" t="s">
        <v>1103</v>
      </c>
      <c r="Q15" t="s">
        <v>701</v>
      </c>
      <c r="R15" s="1">
        <v>45953</v>
      </c>
      <c r="S15" s="1">
        <v>45994</v>
      </c>
      <c r="T15">
        <f t="shared" si="28"/>
        <v>41</v>
      </c>
      <c r="U15" s="132">
        <f t="shared" si="29"/>
        <v>5.8571428571428568</v>
      </c>
      <c r="V15" t="s">
        <v>734</v>
      </c>
      <c r="X15" t="s">
        <v>716</v>
      </c>
      <c r="Y15" s="1">
        <v>46020</v>
      </c>
      <c r="Z15" s="1">
        <v>46045</v>
      </c>
      <c r="AA15">
        <f t="shared" si="4"/>
        <v>25</v>
      </c>
      <c r="AB15" s="132">
        <f t="shared" si="19"/>
        <v>3.5714285714285716</v>
      </c>
      <c r="AC15" t="s">
        <v>1127</v>
      </c>
      <c r="AF15" t="s">
        <v>716</v>
      </c>
      <c r="AG15" s="1">
        <v>46015</v>
      </c>
      <c r="AH15" s="1">
        <v>46047</v>
      </c>
      <c r="AI15">
        <f t="shared" si="5"/>
        <v>32</v>
      </c>
      <c r="AJ15" s="132">
        <f t="shared" si="6"/>
        <v>4.5714285714285712</v>
      </c>
      <c r="AK15" t="s">
        <v>1189</v>
      </c>
      <c r="AN15" s="9" t="s">
        <v>716</v>
      </c>
      <c r="AO15" s="1">
        <v>46074</v>
      </c>
      <c r="AP15" s="1">
        <v>46109</v>
      </c>
      <c r="AQ15">
        <f t="shared" si="7"/>
        <v>35</v>
      </c>
      <c r="AR15" s="132">
        <f t="shared" si="8"/>
        <v>5</v>
      </c>
      <c r="AS15" t="s">
        <v>1238</v>
      </c>
      <c r="AV15" t="s">
        <v>999</v>
      </c>
      <c r="AW15" s="1">
        <v>46046</v>
      </c>
      <c r="AX15" s="1">
        <v>46087</v>
      </c>
      <c r="AY15">
        <f t="shared" si="24"/>
        <v>41</v>
      </c>
      <c r="AZ15" s="132">
        <f t="shared" si="10"/>
        <v>5.8571428571428568</v>
      </c>
      <c r="BA15" t="s">
        <v>1129</v>
      </c>
      <c r="BB15" t="s">
        <v>1296</v>
      </c>
      <c r="BC15" s="2" t="s">
        <v>233</v>
      </c>
      <c r="BD15" s="2">
        <v>2</v>
      </c>
      <c r="BE15" t="s">
        <v>424</v>
      </c>
      <c r="BF15" s="1">
        <v>46093</v>
      </c>
      <c r="BG15" s="1">
        <v>46135</v>
      </c>
      <c r="BH15">
        <f t="shared" si="27"/>
        <v>42</v>
      </c>
      <c r="BI15" s="132">
        <f t="shared" si="12"/>
        <v>6</v>
      </c>
      <c r="BJ15" t="s">
        <v>1379</v>
      </c>
      <c r="BK15" t="s">
        <v>233</v>
      </c>
      <c r="BL15" s="2" t="s">
        <v>1345</v>
      </c>
      <c r="BM15" s="2">
        <v>4</v>
      </c>
      <c r="BN15" t="s">
        <v>415</v>
      </c>
      <c r="BO15" s="1">
        <v>46113</v>
      </c>
      <c r="BP15" s="1">
        <v>46142</v>
      </c>
      <c r="BQ15">
        <f t="shared" si="20"/>
        <v>29</v>
      </c>
      <c r="BR15" s="132">
        <f t="shared" si="21"/>
        <v>4.1428571428571432</v>
      </c>
      <c r="BS15" t="s">
        <v>1408</v>
      </c>
      <c r="BT15" t="s">
        <v>1407</v>
      </c>
      <c r="BU15" s="2" t="s">
        <v>1345</v>
      </c>
      <c r="BV15" s="2">
        <v>2</v>
      </c>
      <c r="BW15" t="s">
        <v>424</v>
      </c>
      <c r="BX15" s="1">
        <v>46139</v>
      </c>
      <c r="BY15" s="1">
        <v>46201</v>
      </c>
      <c r="BZ15">
        <f t="shared" si="13"/>
        <v>62</v>
      </c>
      <c r="CA15" s="132">
        <f t="shared" si="14"/>
        <v>8.8571428571428577</v>
      </c>
      <c r="CB15" t="s">
        <v>1425</v>
      </c>
      <c r="CC15" t="s">
        <v>131</v>
      </c>
      <c r="CD15" s="2" t="s">
        <v>1345</v>
      </c>
      <c r="CE15" s="2">
        <v>3</v>
      </c>
      <c r="CF15" t="s">
        <v>415</v>
      </c>
      <c r="CG15" s="1">
        <v>46197</v>
      </c>
      <c r="CH15" s="1">
        <v>46245</v>
      </c>
      <c r="CI15">
        <f t="shared" si="25"/>
        <v>48</v>
      </c>
      <c r="CJ15" s="132">
        <f t="shared" si="26"/>
        <v>6.8571428571428568</v>
      </c>
      <c r="CK15" t="s">
        <v>1466</v>
      </c>
      <c r="CL15" t="s">
        <v>233</v>
      </c>
      <c r="CM15" s="2" t="s">
        <v>1345</v>
      </c>
      <c r="CN15" s="2"/>
    </row>
    <row r="16" spans="1:92" x14ac:dyDescent="0.25">
      <c r="A16" t="s">
        <v>701</v>
      </c>
      <c r="B16" s="1">
        <v>45853</v>
      </c>
      <c r="C16" s="1">
        <v>45893</v>
      </c>
      <c r="D16">
        <f t="shared" si="0"/>
        <v>40</v>
      </c>
      <c r="E16" s="132">
        <f t="shared" si="1"/>
        <v>5.7142857142857144</v>
      </c>
      <c r="G16" t="s">
        <v>702</v>
      </c>
      <c r="I16" t="s">
        <v>716</v>
      </c>
      <c r="J16" s="1">
        <v>45903</v>
      </c>
      <c r="K16" s="1">
        <v>45963</v>
      </c>
      <c r="L16">
        <f t="shared" si="17"/>
        <v>60</v>
      </c>
      <c r="M16" s="132">
        <f t="shared" si="18"/>
        <v>8.5714285714285712</v>
      </c>
      <c r="O16" t="s">
        <v>785</v>
      </c>
      <c r="Q16" t="s">
        <v>701</v>
      </c>
      <c r="R16" s="1">
        <v>45922</v>
      </c>
      <c r="S16" s="1">
        <v>45963</v>
      </c>
      <c r="T16">
        <f t="shared" si="28"/>
        <v>41</v>
      </c>
      <c r="U16" s="132">
        <f t="shared" si="29"/>
        <v>5.8571428571428568</v>
      </c>
      <c r="V16" t="s">
        <v>930</v>
      </c>
      <c r="X16" t="s">
        <v>716</v>
      </c>
      <c r="Y16" s="1">
        <v>45963</v>
      </c>
      <c r="Z16" s="1">
        <v>46005</v>
      </c>
      <c r="AA16">
        <f t="shared" si="4"/>
        <v>42</v>
      </c>
      <c r="AB16" s="132">
        <f t="shared" si="19"/>
        <v>6</v>
      </c>
      <c r="AC16" t="s">
        <v>769</v>
      </c>
      <c r="AF16" t="s">
        <v>716</v>
      </c>
      <c r="AG16" s="1">
        <v>46027</v>
      </c>
      <c r="AH16" s="1">
        <v>46061</v>
      </c>
      <c r="AI16">
        <f t="shared" si="5"/>
        <v>34</v>
      </c>
      <c r="AJ16" s="132">
        <f t="shared" si="6"/>
        <v>4.8571428571428568</v>
      </c>
      <c r="AK16" t="s">
        <v>1194</v>
      </c>
      <c r="AN16" s="9" t="s">
        <v>716</v>
      </c>
      <c r="AO16" s="1">
        <v>46035</v>
      </c>
      <c r="AP16" s="1">
        <v>46094</v>
      </c>
      <c r="AQ16">
        <f t="shared" si="7"/>
        <v>59</v>
      </c>
      <c r="AR16" s="132">
        <f t="shared" si="8"/>
        <v>8.4285714285714288</v>
      </c>
      <c r="AS16" t="s">
        <v>834</v>
      </c>
      <c r="AV16" t="s">
        <v>999</v>
      </c>
      <c r="AW16" s="1">
        <v>46083</v>
      </c>
      <c r="AX16" s="1">
        <v>46125</v>
      </c>
      <c r="AY16">
        <f t="shared" si="24"/>
        <v>42</v>
      </c>
      <c r="AZ16" s="132">
        <f t="shared" si="10"/>
        <v>6</v>
      </c>
      <c r="BA16" t="s">
        <v>1294</v>
      </c>
      <c r="BB16" t="s">
        <v>175</v>
      </c>
      <c r="BC16" s="2" t="s">
        <v>1345</v>
      </c>
      <c r="BD16" s="2">
        <v>3</v>
      </c>
      <c r="BE16" t="s">
        <v>424</v>
      </c>
      <c r="BF16" s="1">
        <v>46092</v>
      </c>
      <c r="BG16" s="1">
        <v>46117</v>
      </c>
      <c r="BH16">
        <f t="shared" si="27"/>
        <v>25</v>
      </c>
      <c r="BI16" s="132">
        <f t="shared" si="12"/>
        <v>3.5714285714285716</v>
      </c>
      <c r="BJ16" t="s">
        <v>1180</v>
      </c>
      <c r="BK16" t="s">
        <v>131</v>
      </c>
      <c r="BL16" s="2" t="s">
        <v>244</v>
      </c>
      <c r="BM16" s="2">
        <v>4</v>
      </c>
      <c r="BN16" t="s">
        <v>415</v>
      </c>
      <c r="BO16" s="1">
        <v>46158</v>
      </c>
      <c r="BP16" s="1">
        <v>46242</v>
      </c>
      <c r="BQ16">
        <f t="shared" si="20"/>
        <v>84</v>
      </c>
      <c r="BR16" s="132">
        <f t="shared" si="21"/>
        <v>12</v>
      </c>
      <c r="BS16" t="s">
        <v>1394</v>
      </c>
      <c r="BT16" t="s">
        <v>233</v>
      </c>
      <c r="BU16" s="2" t="s">
        <v>244</v>
      </c>
      <c r="BV16" s="2">
        <v>3</v>
      </c>
      <c r="BW16" t="s">
        <v>424</v>
      </c>
      <c r="BX16" s="1">
        <v>46146</v>
      </c>
      <c r="BY16" s="1">
        <v>46172</v>
      </c>
      <c r="BZ16">
        <f t="shared" si="13"/>
        <v>26</v>
      </c>
      <c r="CA16" s="132">
        <f t="shared" si="14"/>
        <v>3.7142857142857144</v>
      </c>
      <c r="CB16" t="s">
        <v>1427</v>
      </c>
      <c r="CC16" t="s">
        <v>131</v>
      </c>
      <c r="CD16" s="2" t="s">
        <v>244</v>
      </c>
      <c r="CE16" s="2">
        <v>1</v>
      </c>
      <c r="CF16" t="s">
        <v>415</v>
      </c>
      <c r="CG16" s="1">
        <v>46176</v>
      </c>
      <c r="CH16" s="1">
        <v>46201</v>
      </c>
      <c r="CI16">
        <f t="shared" si="25"/>
        <v>25</v>
      </c>
      <c r="CJ16" s="132">
        <f t="shared" si="26"/>
        <v>3.5714285714285716</v>
      </c>
      <c r="CK16" t="s">
        <v>1468</v>
      </c>
      <c r="CL16" t="s">
        <v>1383</v>
      </c>
      <c r="CM16" s="2" t="s">
        <v>244</v>
      </c>
      <c r="CN16" s="2"/>
    </row>
    <row r="17" spans="1:92" x14ac:dyDescent="0.25">
      <c r="A17" t="s">
        <v>701</v>
      </c>
      <c r="B17" s="1">
        <v>45842</v>
      </c>
      <c r="C17" s="1">
        <v>45856</v>
      </c>
      <c r="D17">
        <f t="shared" si="0"/>
        <v>14</v>
      </c>
      <c r="E17" s="132">
        <f t="shared" si="1"/>
        <v>2</v>
      </c>
      <c r="G17" t="s">
        <v>703</v>
      </c>
      <c r="I17" t="s">
        <v>716</v>
      </c>
      <c r="J17" s="1">
        <v>45922</v>
      </c>
      <c r="K17" s="1">
        <v>45990</v>
      </c>
      <c r="L17">
        <f t="shared" si="17"/>
        <v>68</v>
      </c>
      <c r="M17" s="132">
        <f t="shared" si="18"/>
        <v>9.7142857142857135</v>
      </c>
      <c r="O17" t="s">
        <v>791</v>
      </c>
      <c r="Q17" t="s">
        <v>701</v>
      </c>
      <c r="R17" s="1">
        <v>45946</v>
      </c>
      <c r="S17" s="1">
        <v>45998</v>
      </c>
      <c r="T17">
        <f t="shared" si="28"/>
        <v>52</v>
      </c>
      <c r="U17" s="132">
        <f t="shared" si="29"/>
        <v>7.4285714285714288</v>
      </c>
      <c r="V17" t="s">
        <v>1055</v>
      </c>
      <c r="X17" t="s">
        <v>716</v>
      </c>
      <c r="Y17" s="1">
        <v>45978</v>
      </c>
      <c r="Z17" s="1">
        <v>46012</v>
      </c>
      <c r="AA17">
        <f t="shared" si="4"/>
        <v>34</v>
      </c>
      <c r="AB17" s="132">
        <f t="shared" si="19"/>
        <v>4.8571428571428568</v>
      </c>
      <c r="AC17" t="s">
        <v>1139</v>
      </c>
      <c r="AF17" t="s">
        <v>716</v>
      </c>
      <c r="AG17" s="1">
        <v>46034</v>
      </c>
      <c r="AH17" s="1">
        <v>46117</v>
      </c>
      <c r="AI17">
        <f t="shared" si="5"/>
        <v>83</v>
      </c>
      <c r="AJ17" s="132">
        <f t="shared" si="6"/>
        <v>11.857142857142858</v>
      </c>
      <c r="AK17" t="s">
        <v>1198</v>
      </c>
      <c r="AN17" s="9" t="s">
        <v>716</v>
      </c>
      <c r="AO17" s="1">
        <v>46027</v>
      </c>
      <c r="AP17" s="1">
        <v>46044</v>
      </c>
      <c r="AQ17">
        <f t="shared" si="7"/>
        <v>17</v>
      </c>
      <c r="AR17" s="132">
        <f t="shared" si="8"/>
        <v>2.4285714285714284</v>
      </c>
      <c r="AS17" t="s">
        <v>1245</v>
      </c>
      <c r="AV17" t="s">
        <v>999</v>
      </c>
      <c r="AW17" s="1">
        <v>46054</v>
      </c>
      <c r="AX17" s="1">
        <v>46081</v>
      </c>
      <c r="AY17">
        <f t="shared" si="24"/>
        <v>27</v>
      </c>
      <c r="AZ17" s="132">
        <f t="shared" si="10"/>
        <v>3.8571428571428572</v>
      </c>
      <c r="BA17" t="s">
        <v>73</v>
      </c>
      <c r="BB17" t="s">
        <v>131</v>
      </c>
      <c r="BC17" s="2" t="s">
        <v>134</v>
      </c>
      <c r="BD17" s="2">
        <v>4</v>
      </c>
      <c r="BE17" t="s">
        <v>424</v>
      </c>
      <c r="BF17" s="1">
        <v>46153</v>
      </c>
      <c r="BG17" s="1">
        <v>46208</v>
      </c>
      <c r="BH17">
        <f t="shared" si="27"/>
        <v>55</v>
      </c>
      <c r="BI17" s="132">
        <f t="shared" si="12"/>
        <v>7.8571428571428568</v>
      </c>
      <c r="BJ17" t="s">
        <v>1283</v>
      </c>
      <c r="BK17" t="s">
        <v>134</v>
      </c>
      <c r="BL17" s="2" t="s">
        <v>182</v>
      </c>
      <c r="BM17" s="2">
        <v>6</v>
      </c>
      <c r="BN17" t="s">
        <v>415</v>
      </c>
      <c r="BO17" s="1">
        <v>46106</v>
      </c>
      <c r="BP17" s="1">
        <v>46151</v>
      </c>
      <c r="BQ17">
        <f t="shared" si="20"/>
        <v>45</v>
      </c>
      <c r="BR17" s="132">
        <f t="shared" si="21"/>
        <v>6.4285714285714288</v>
      </c>
      <c r="BS17" t="s">
        <v>1403</v>
      </c>
      <c r="BT17" t="s">
        <v>1400</v>
      </c>
      <c r="BU17" s="2" t="s">
        <v>182</v>
      </c>
      <c r="BV17" s="2"/>
      <c r="BW17" t="s">
        <v>424</v>
      </c>
      <c r="BX17" s="1">
        <v>46160</v>
      </c>
      <c r="BY17" s="1">
        <v>46187</v>
      </c>
      <c r="BZ17">
        <f t="shared" si="13"/>
        <v>27</v>
      </c>
      <c r="CA17" s="132">
        <f t="shared" si="14"/>
        <v>3.8571428571428572</v>
      </c>
      <c r="CB17" t="s">
        <v>1438</v>
      </c>
      <c r="CC17" t="s">
        <v>1407</v>
      </c>
      <c r="CD17" s="2" t="s">
        <v>182</v>
      </c>
      <c r="CE17" s="2">
        <v>0</v>
      </c>
      <c r="CF17" t="s">
        <v>1292</v>
      </c>
      <c r="CG17" s="1">
        <v>46153</v>
      </c>
      <c r="CH17" s="1">
        <v>46201</v>
      </c>
      <c r="CI17">
        <f t="shared" si="25"/>
        <v>48</v>
      </c>
      <c r="CJ17" s="132">
        <f t="shared" si="26"/>
        <v>6.8571428571428568</v>
      </c>
      <c r="CK17" t="s">
        <v>1456</v>
      </c>
      <c r="CL17" t="s">
        <v>131</v>
      </c>
      <c r="CM17" s="2" t="s">
        <v>182</v>
      </c>
      <c r="CN17" s="2"/>
    </row>
    <row r="18" spans="1:92" x14ac:dyDescent="0.25">
      <c r="A18" t="s">
        <v>701</v>
      </c>
      <c r="B18" s="1">
        <v>45859</v>
      </c>
      <c r="C18" s="1">
        <v>45872</v>
      </c>
      <c r="D18">
        <f t="shared" si="0"/>
        <v>13</v>
      </c>
      <c r="E18" s="132">
        <f t="shared" si="1"/>
        <v>1.8571428571428572</v>
      </c>
      <c r="G18" t="s">
        <v>706</v>
      </c>
      <c r="I18" t="s">
        <v>716</v>
      </c>
      <c r="J18" s="1">
        <v>45903</v>
      </c>
      <c r="K18" s="1">
        <v>45914</v>
      </c>
      <c r="L18">
        <f t="shared" si="17"/>
        <v>11</v>
      </c>
      <c r="M18" s="132">
        <f t="shared" si="18"/>
        <v>1.5714285714285714</v>
      </c>
      <c r="O18" t="s">
        <v>785</v>
      </c>
      <c r="Q18" t="s">
        <v>701</v>
      </c>
      <c r="R18" s="1">
        <v>45939</v>
      </c>
      <c r="S18" s="1">
        <v>45963</v>
      </c>
      <c r="T18">
        <f t="shared" si="28"/>
        <v>24</v>
      </c>
      <c r="U18" s="132">
        <f t="shared" si="29"/>
        <v>3.4285714285714284</v>
      </c>
      <c r="V18" t="s">
        <v>1060</v>
      </c>
      <c r="X18" s="16" t="s">
        <v>701</v>
      </c>
      <c r="Y18" s="133">
        <v>45973</v>
      </c>
      <c r="Z18" s="133">
        <v>45991</v>
      </c>
      <c r="AA18" s="16">
        <f t="shared" si="4"/>
        <v>18</v>
      </c>
      <c r="AB18" s="134">
        <f t="shared" si="19"/>
        <v>2.5714285714285716</v>
      </c>
      <c r="AC18" s="16" t="s">
        <v>1083</v>
      </c>
      <c r="AF18" t="s">
        <v>830</v>
      </c>
      <c r="AG18" s="1">
        <v>46029</v>
      </c>
      <c r="AH18" s="1">
        <v>46098</v>
      </c>
      <c r="AI18">
        <f t="shared" si="5"/>
        <v>69</v>
      </c>
      <c r="AJ18" s="132">
        <f t="shared" si="6"/>
        <v>9.8571428571428577</v>
      </c>
      <c r="AK18" t="s">
        <v>1191</v>
      </c>
      <c r="AN18" s="9" t="s">
        <v>716</v>
      </c>
      <c r="AO18" s="1">
        <v>46076</v>
      </c>
      <c r="AP18" s="1">
        <v>46117</v>
      </c>
      <c r="AQ18">
        <f t="shared" si="7"/>
        <v>41</v>
      </c>
      <c r="AR18" s="132">
        <f t="shared" si="8"/>
        <v>5.8571428571428568</v>
      </c>
      <c r="AS18" t="s">
        <v>1252</v>
      </c>
      <c r="AV18" t="s">
        <v>999</v>
      </c>
      <c r="AW18" s="1">
        <v>46093</v>
      </c>
      <c r="AX18" s="1">
        <v>46176</v>
      </c>
      <c r="AY18">
        <f t="shared" si="24"/>
        <v>83</v>
      </c>
      <c r="AZ18" s="132">
        <f t="shared" si="10"/>
        <v>11.857142857142858</v>
      </c>
      <c r="BA18" t="s">
        <v>1334</v>
      </c>
      <c r="BB18" t="s">
        <v>233</v>
      </c>
      <c r="BD18">
        <f>SUM(BD13:BD17)</f>
        <v>24</v>
      </c>
      <c r="BE18" t="s">
        <v>1030</v>
      </c>
      <c r="BF18" s="1">
        <v>46104</v>
      </c>
      <c r="BG18" s="1">
        <v>46145</v>
      </c>
      <c r="BH18">
        <f t="shared" si="27"/>
        <v>41</v>
      </c>
      <c r="BI18" s="132">
        <f t="shared" ref="BI18:BI41" si="30">SUM(BH18/7)</f>
        <v>5.8571428571428568</v>
      </c>
      <c r="BJ18" t="s">
        <v>1348</v>
      </c>
      <c r="BK18" t="s">
        <v>134</v>
      </c>
      <c r="BL18" s="2" t="s">
        <v>134</v>
      </c>
      <c r="BM18" s="2">
        <v>6</v>
      </c>
      <c r="BN18" t="s">
        <v>1292</v>
      </c>
      <c r="BO18" s="1">
        <v>46093</v>
      </c>
      <c r="BP18" s="1">
        <v>46134</v>
      </c>
      <c r="BQ18">
        <f t="shared" si="20"/>
        <v>41</v>
      </c>
      <c r="BR18" s="132">
        <f t="shared" si="21"/>
        <v>5.8571428571428568</v>
      </c>
      <c r="BS18" t="s">
        <v>474</v>
      </c>
      <c r="BT18" t="s">
        <v>148</v>
      </c>
      <c r="BU18" s="2" t="s">
        <v>134</v>
      </c>
      <c r="BV18" s="2">
        <v>6</v>
      </c>
      <c r="BW18" t="s">
        <v>1030</v>
      </c>
      <c r="BX18" s="1">
        <v>46132</v>
      </c>
      <c r="BY18" s="1">
        <v>46150</v>
      </c>
      <c r="BZ18">
        <f t="shared" si="13"/>
        <v>18</v>
      </c>
      <c r="CA18" s="132">
        <f t="shared" ref="CA18:CA33" si="31">SUM(BZ18/7)</f>
        <v>2.5714285714285716</v>
      </c>
      <c r="CB18" t="s">
        <v>589</v>
      </c>
      <c r="CC18" t="s">
        <v>1093</v>
      </c>
      <c r="CD18" s="2" t="s">
        <v>134</v>
      </c>
      <c r="CE18" s="2">
        <v>2</v>
      </c>
      <c r="CF18" t="s">
        <v>1292</v>
      </c>
      <c r="CG18" s="1">
        <v>46161</v>
      </c>
      <c r="CH18" s="1">
        <v>46245</v>
      </c>
      <c r="CI18">
        <f t="shared" ref="CI18:CI21" si="32">_xlfn.DAYS(CH18,CG18)</f>
        <v>84</v>
      </c>
      <c r="CJ18" s="132">
        <f t="shared" ref="CJ18:CJ21" si="33">SUM(CI18/7)</f>
        <v>12</v>
      </c>
      <c r="CK18" t="s">
        <v>750</v>
      </c>
      <c r="CL18" t="s">
        <v>233</v>
      </c>
      <c r="CM18" s="2" t="s">
        <v>134</v>
      </c>
      <c r="CN18" s="2"/>
    </row>
    <row r="19" spans="1:92" x14ac:dyDescent="0.25">
      <c r="A19" t="s">
        <v>701</v>
      </c>
      <c r="B19" s="1">
        <v>45859</v>
      </c>
      <c r="C19" s="1">
        <v>45872</v>
      </c>
      <c r="D19">
        <f t="shared" si="0"/>
        <v>13</v>
      </c>
      <c r="E19" s="132">
        <f t="shared" si="1"/>
        <v>1.8571428571428572</v>
      </c>
      <c r="G19" t="s">
        <v>707</v>
      </c>
      <c r="I19" s="139" t="s">
        <v>716</v>
      </c>
      <c r="J19" s="140"/>
      <c r="K19" s="140"/>
      <c r="L19" s="139">
        <f t="shared" si="17"/>
        <v>0</v>
      </c>
      <c r="M19" s="141">
        <f t="shared" si="18"/>
        <v>0</v>
      </c>
      <c r="N19" s="139"/>
      <c r="O19" s="139" t="s">
        <v>834</v>
      </c>
      <c r="P19" t="s">
        <v>838</v>
      </c>
      <c r="Q19" t="s">
        <v>701</v>
      </c>
      <c r="R19" s="1">
        <v>45974</v>
      </c>
      <c r="S19" s="1">
        <v>46008</v>
      </c>
      <c r="T19">
        <f t="shared" si="28"/>
        <v>34</v>
      </c>
      <c r="U19" s="132">
        <f t="shared" si="29"/>
        <v>4.8571428571428568</v>
      </c>
      <c r="V19" t="s">
        <v>1062</v>
      </c>
      <c r="X19" t="s">
        <v>701</v>
      </c>
      <c r="Y19" s="1">
        <v>45966</v>
      </c>
      <c r="Z19" s="1">
        <v>46009</v>
      </c>
      <c r="AA19">
        <f t="shared" si="4"/>
        <v>43</v>
      </c>
      <c r="AB19" s="132">
        <f t="shared" si="19"/>
        <v>6.1428571428571432</v>
      </c>
      <c r="AC19" t="s">
        <v>1094</v>
      </c>
      <c r="AF19" t="s">
        <v>830</v>
      </c>
      <c r="AG19" s="1">
        <v>45995</v>
      </c>
      <c r="AH19" s="1">
        <v>46019</v>
      </c>
      <c r="AI19">
        <f t="shared" si="5"/>
        <v>24</v>
      </c>
      <c r="AJ19" s="132">
        <f t="shared" si="6"/>
        <v>3.4285714285714284</v>
      </c>
      <c r="AK19" t="s">
        <v>1193</v>
      </c>
      <c r="AN19" s="9" t="s">
        <v>716</v>
      </c>
      <c r="AO19" s="1">
        <v>46043</v>
      </c>
      <c r="AP19" s="1">
        <v>46063</v>
      </c>
      <c r="AQ19">
        <f t="shared" si="7"/>
        <v>20</v>
      </c>
      <c r="AR19" s="132">
        <f t="shared" si="8"/>
        <v>2.8571428571428572</v>
      </c>
      <c r="AS19" t="s">
        <v>1176</v>
      </c>
      <c r="AV19" t="s">
        <v>999</v>
      </c>
      <c r="AW19" s="1">
        <v>46072</v>
      </c>
      <c r="AX19" s="1">
        <v>46113</v>
      </c>
      <c r="AY19">
        <f t="shared" si="24"/>
        <v>41</v>
      </c>
      <c r="AZ19" s="132">
        <f t="shared" si="10"/>
        <v>5.8571428571428568</v>
      </c>
      <c r="BA19" t="s">
        <v>1338</v>
      </c>
      <c r="BB19" t="s">
        <v>167</v>
      </c>
      <c r="BE19" t="s">
        <v>1030</v>
      </c>
      <c r="BF19" s="1">
        <v>46069</v>
      </c>
      <c r="BG19" s="1">
        <v>46110</v>
      </c>
      <c r="BH19">
        <f t="shared" si="27"/>
        <v>41</v>
      </c>
      <c r="BI19" s="132">
        <f t="shared" si="30"/>
        <v>5.8571428571428568</v>
      </c>
      <c r="BJ19" t="s">
        <v>1351</v>
      </c>
      <c r="BK19" t="s">
        <v>804</v>
      </c>
      <c r="BM19">
        <f>SUM(BM12:BM18)</f>
        <v>40</v>
      </c>
      <c r="BN19" t="s">
        <v>1292</v>
      </c>
      <c r="BO19" s="1">
        <v>46104</v>
      </c>
      <c r="BP19" s="1">
        <v>46112</v>
      </c>
      <c r="BQ19">
        <f t="shared" si="20"/>
        <v>8</v>
      </c>
      <c r="BR19" s="132">
        <f t="shared" si="21"/>
        <v>1.1428571428571428</v>
      </c>
      <c r="BS19" t="s">
        <v>84</v>
      </c>
      <c r="BT19" t="s">
        <v>134</v>
      </c>
      <c r="BU19" s="73" t="s">
        <v>15</v>
      </c>
      <c r="BV19">
        <f>SUM(BV12:BV18)</f>
        <v>24</v>
      </c>
      <c r="BW19" t="s">
        <v>1030</v>
      </c>
      <c r="BX19" s="1">
        <v>46153</v>
      </c>
      <c r="BY19" s="1">
        <v>46194</v>
      </c>
      <c r="BZ19">
        <f t="shared" si="13"/>
        <v>41</v>
      </c>
      <c r="CA19" s="132">
        <f t="shared" si="31"/>
        <v>5.8571428571428568</v>
      </c>
      <c r="CB19" t="s">
        <v>589</v>
      </c>
      <c r="CC19" t="s">
        <v>1093</v>
      </c>
      <c r="CD19" s="73" t="s">
        <v>15</v>
      </c>
      <c r="CE19">
        <f>SUM(CE12:CE18)</f>
        <v>32</v>
      </c>
      <c r="CG19" s="1"/>
      <c r="CH19" s="1"/>
      <c r="CI19">
        <f t="shared" si="32"/>
        <v>0</v>
      </c>
      <c r="CJ19" s="132">
        <f t="shared" si="33"/>
        <v>0</v>
      </c>
      <c r="CM19" s="73" t="s">
        <v>15</v>
      </c>
      <c r="CN19">
        <f>SUM(CN12:CN18)</f>
        <v>0</v>
      </c>
    </row>
    <row r="20" spans="1:92" x14ac:dyDescent="0.25">
      <c r="A20" t="s">
        <v>701</v>
      </c>
      <c r="B20" s="1">
        <v>45869</v>
      </c>
      <c r="C20" s="1">
        <v>45931</v>
      </c>
      <c r="D20">
        <f t="shared" si="0"/>
        <v>62</v>
      </c>
      <c r="E20" s="132">
        <f t="shared" si="1"/>
        <v>8.8571428571428577</v>
      </c>
      <c r="G20" t="s">
        <v>712</v>
      </c>
      <c r="I20" s="16" t="s">
        <v>716</v>
      </c>
      <c r="J20" s="133">
        <v>45922</v>
      </c>
      <c r="K20" s="133">
        <v>45970</v>
      </c>
      <c r="L20" s="16">
        <f t="shared" si="17"/>
        <v>48</v>
      </c>
      <c r="M20" s="134">
        <f t="shared" si="18"/>
        <v>6.8571428571428568</v>
      </c>
      <c r="N20" s="16"/>
      <c r="O20" s="16" t="s">
        <v>837</v>
      </c>
      <c r="Q20" t="s">
        <v>701</v>
      </c>
      <c r="R20" s="1">
        <v>45932</v>
      </c>
      <c r="S20" s="1">
        <v>45991</v>
      </c>
      <c r="T20">
        <f t="shared" si="28"/>
        <v>59</v>
      </c>
      <c r="U20" s="132">
        <f t="shared" si="29"/>
        <v>8.4285714285714288</v>
      </c>
      <c r="V20" t="s">
        <v>1068</v>
      </c>
      <c r="X20" t="s">
        <v>701</v>
      </c>
      <c r="Y20" s="1">
        <v>45966</v>
      </c>
      <c r="Z20" s="1">
        <v>46028</v>
      </c>
      <c r="AA20">
        <f t="shared" si="4"/>
        <v>62</v>
      </c>
      <c r="AB20" s="132">
        <f t="shared" si="19"/>
        <v>8.8571428571428577</v>
      </c>
      <c r="AC20" t="s">
        <v>1095</v>
      </c>
      <c r="AF20" t="s">
        <v>758</v>
      </c>
      <c r="AG20" s="1">
        <v>45971</v>
      </c>
      <c r="AH20" s="1">
        <v>45984</v>
      </c>
      <c r="AI20">
        <f t="shared" si="5"/>
        <v>13</v>
      </c>
      <c r="AJ20" s="132">
        <f t="shared" si="6"/>
        <v>1.8571428571428572</v>
      </c>
      <c r="AK20" t="s">
        <v>1160</v>
      </c>
      <c r="AN20" t="s">
        <v>589</v>
      </c>
      <c r="AO20" s="1">
        <v>46020</v>
      </c>
      <c r="AP20" s="1">
        <v>46047</v>
      </c>
      <c r="AQ20">
        <f t="shared" si="7"/>
        <v>27</v>
      </c>
      <c r="AR20" s="132">
        <f t="shared" si="8"/>
        <v>3.8571428571428572</v>
      </c>
      <c r="AS20" t="s">
        <v>1217</v>
      </c>
      <c r="AV20" t="s">
        <v>999</v>
      </c>
      <c r="AW20" s="1">
        <v>46062</v>
      </c>
      <c r="AX20" s="1">
        <v>46089</v>
      </c>
      <c r="AY20">
        <f t="shared" si="24"/>
        <v>27</v>
      </c>
      <c r="AZ20" s="132">
        <f t="shared" si="10"/>
        <v>3.8571428571428572</v>
      </c>
      <c r="BA20" t="s">
        <v>1236</v>
      </c>
      <c r="BB20" t="s">
        <v>1299</v>
      </c>
      <c r="BE20" t="s">
        <v>1030</v>
      </c>
      <c r="BF20" s="1">
        <v>46104</v>
      </c>
      <c r="BG20" s="1">
        <v>46161</v>
      </c>
      <c r="BH20">
        <f t="shared" si="27"/>
        <v>57</v>
      </c>
      <c r="BI20" s="132">
        <f t="shared" si="30"/>
        <v>8.1428571428571423</v>
      </c>
      <c r="BJ20" t="s">
        <v>1352</v>
      </c>
      <c r="BK20" t="s">
        <v>131</v>
      </c>
      <c r="BN20" t="s">
        <v>1292</v>
      </c>
      <c r="BO20" s="1">
        <v>46177</v>
      </c>
      <c r="BP20" s="1">
        <v>46217</v>
      </c>
      <c r="BQ20">
        <f t="shared" si="20"/>
        <v>40</v>
      </c>
      <c r="BR20" s="132">
        <f t="shared" si="21"/>
        <v>5.7142857142857144</v>
      </c>
      <c r="BS20" t="s">
        <v>1398</v>
      </c>
      <c r="BT20" t="s">
        <v>540</v>
      </c>
      <c r="BW20" t="s">
        <v>1030</v>
      </c>
      <c r="BX20" s="1">
        <v>46175</v>
      </c>
      <c r="BY20" s="1">
        <v>46216</v>
      </c>
      <c r="BZ20">
        <f t="shared" si="13"/>
        <v>41</v>
      </c>
      <c r="CA20" s="132">
        <f t="shared" si="31"/>
        <v>5.8571428571428568</v>
      </c>
      <c r="CB20" t="s">
        <v>1431</v>
      </c>
      <c r="CC20" t="s">
        <v>171</v>
      </c>
      <c r="CG20" s="1"/>
      <c r="CH20" s="1"/>
      <c r="CI20">
        <f t="shared" si="32"/>
        <v>0</v>
      </c>
      <c r="CJ20" s="132">
        <f t="shared" si="33"/>
        <v>0</v>
      </c>
    </row>
    <row r="21" spans="1:92" x14ac:dyDescent="0.25">
      <c r="A21" t="s">
        <v>701</v>
      </c>
      <c r="B21" s="1">
        <v>45887</v>
      </c>
      <c r="C21" s="1">
        <v>45942</v>
      </c>
      <c r="D21">
        <f t="shared" si="0"/>
        <v>55</v>
      </c>
      <c r="E21" s="132">
        <f t="shared" si="1"/>
        <v>7.8571428571428568</v>
      </c>
      <c r="G21" t="s">
        <v>727</v>
      </c>
      <c r="I21" s="152" t="s">
        <v>701</v>
      </c>
      <c r="J21" s="153">
        <v>45887</v>
      </c>
      <c r="K21" s="153">
        <v>45942</v>
      </c>
      <c r="L21" s="152"/>
      <c r="M21" s="154"/>
      <c r="N21" s="152"/>
      <c r="O21" s="152" t="s">
        <v>752</v>
      </c>
      <c r="Q21" t="s">
        <v>716</v>
      </c>
      <c r="R21" s="1">
        <v>45915</v>
      </c>
      <c r="S21" s="1">
        <v>45956</v>
      </c>
      <c r="T21">
        <f t="shared" si="28"/>
        <v>41</v>
      </c>
      <c r="U21" s="132">
        <f t="shared" si="29"/>
        <v>5.8571428571428568</v>
      </c>
      <c r="V21" t="s">
        <v>894</v>
      </c>
      <c r="X21" t="s">
        <v>701</v>
      </c>
      <c r="Y21" s="1">
        <v>45976</v>
      </c>
      <c r="Z21" s="1">
        <v>46003</v>
      </c>
      <c r="AA21">
        <f t="shared" si="4"/>
        <v>27</v>
      </c>
      <c r="AB21" s="132">
        <f t="shared" si="19"/>
        <v>3.8571428571428572</v>
      </c>
      <c r="AC21" t="s">
        <v>752</v>
      </c>
      <c r="AF21" t="s">
        <v>758</v>
      </c>
      <c r="AG21" s="1">
        <v>45975</v>
      </c>
      <c r="AH21" s="1">
        <v>46003</v>
      </c>
      <c r="AI21">
        <f t="shared" si="5"/>
        <v>28</v>
      </c>
      <c r="AJ21" s="132">
        <f t="shared" si="6"/>
        <v>4</v>
      </c>
      <c r="AK21" t="s">
        <v>1164</v>
      </c>
      <c r="AN21" s="9" t="s">
        <v>589</v>
      </c>
      <c r="AO21" s="1">
        <v>46027</v>
      </c>
      <c r="AP21" s="1">
        <v>46082</v>
      </c>
      <c r="AQ21">
        <f t="shared" si="7"/>
        <v>55</v>
      </c>
      <c r="AR21" s="132">
        <f t="shared" si="8"/>
        <v>7.8571428571428568</v>
      </c>
      <c r="AS21" t="s">
        <v>1216</v>
      </c>
      <c r="AV21" t="s">
        <v>415</v>
      </c>
      <c r="AW21" s="1">
        <v>46037</v>
      </c>
      <c r="AX21" s="1">
        <v>46078</v>
      </c>
      <c r="AY21">
        <f t="shared" si="24"/>
        <v>41</v>
      </c>
      <c r="AZ21" s="132">
        <f t="shared" si="10"/>
        <v>5.8571428571428568</v>
      </c>
      <c r="BA21" t="s">
        <v>1277</v>
      </c>
      <c r="BB21" t="s">
        <v>138</v>
      </c>
      <c r="BE21" t="s">
        <v>1030</v>
      </c>
      <c r="BF21" s="1">
        <v>46069</v>
      </c>
      <c r="BG21" s="1">
        <v>46096</v>
      </c>
      <c r="BH21">
        <f t="shared" si="27"/>
        <v>27</v>
      </c>
      <c r="BI21" s="132">
        <f t="shared" si="30"/>
        <v>3.8571428571428572</v>
      </c>
      <c r="BJ21" t="s">
        <v>73</v>
      </c>
      <c r="BK21" t="s">
        <v>795</v>
      </c>
      <c r="BN21" t="s">
        <v>1292</v>
      </c>
      <c r="BO21" s="1">
        <v>46177</v>
      </c>
      <c r="BP21" s="1">
        <v>46217</v>
      </c>
      <c r="BQ21">
        <f t="shared" si="20"/>
        <v>40</v>
      </c>
      <c r="BR21" s="132">
        <f t="shared" si="21"/>
        <v>5.7142857142857144</v>
      </c>
      <c r="BS21" s="241" t="s">
        <v>1399</v>
      </c>
      <c r="BT21" t="s">
        <v>540</v>
      </c>
      <c r="BW21" t="s">
        <v>1030</v>
      </c>
      <c r="BX21" s="1">
        <v>46175</v>
      </c>
      <c r="BY21" s="1">
        <v>46216</v>
      </c>
      <c r="BZ21">
        <f t="shared" si="13"/>
        <v>41</v>
      </c>
      <c r="CA21" s="132">
        <f t="shared" si="31"/>
        <v>5.8571428571428568</v>
      </c>
      <c r="CB21" t="s">
        <v>1081</v>
      </c>
      <c r="CC21" t="s">
        <v>171</v>
      </c>
      <c r="CG21" s="1"/>
      <c r="CH21" s="1"/>
      <c r="CI21">
        <f t="shared" si="32"/>
        <v>0</v>
      </c>
      <c r="CJ21" s="132">
        <f t="shared" si="33"/>
        <v>0</v>
      </c>
    </row>
    <row r="22" spans="1:92" x14ac:dyDescent="0.25">
      <c r="A22" t="s">
        <v>701</v>
      </c>
      <c r="B22" s="1">
        <v>45870</v>
      </c>
      <c r="C22" s="1">
        <v>45911</v>
      </c>
      <c r="D22">
        <f t="shared" si="0"/>
        <v>41</v>
      </c>
      <c r="E22" s="132">
        <f t="shared" si="1"/>
        <v>5.8571428571428568</v>
      </c>
      <c r="G22" t="s">
        <v>743</v>
      </c>
      <c r="I22" t="s">
        <v>701</v>
      </c>
      <c r="J22" s="1">
        <v>45877</v>
      </c>
      <c r="K22" s="1">
        <v>45947</v>
      </c>
      <c r="L22">
        <f t="shared" si="17"/>
        <v>70</v>
      </c>
      <c r="M22" s="132">
        <f t="shared" si="18"/>
        <v>10</v>
      </c>
      <c r="O22" t="s">
        <v>754</v>
      </c>
      <c r="Q22" t="s">
        <v>716</v>
      </c>
      <c r="R22" s="1">
        <v>45925</v>
      </c>
      <c r="S22" s="1">
        <v>45966</v>
      </c>
      <c r="T22">
        <f t="shared" si="28"/>
        <v>41</v>
      </c>
      <c r="U22" s="132">
        <f t="shared" si="29"/>
        <v>5.8571428571428568</v>
      </c>
      <c r="V22" t="s">
        <v>904</v>
      </c>
      <c r="X22" t="s">
        <v>701</v>
      </c>
      <c r="Y22" s="1">
        <v>45978</v>
      </c>
      <c r="Z22" s="1">
        <v>46012</v>
      </c>
      <c r="AA22">
        <f t="shared" si="4"/>
        <v>34</v>
      </c>
      <c r="AB22" s="132">
        <f t="shared" si="19"/>
        <v>4.8571428571428568</v>
      </c>
      <c r="AC22" t="s">
        <v>1126</v>
      </c>
      <c r="AF22" t="s">
        <v>758</v>
      </c>
      <c r="AG22" s="1">
        <v>46034</v>
      </c>
      <c r="AH22" s="1">
        <v>46089</v>
      </c>
      <c r="AI22">
        <f t="shared" si="5"/>
        <v>55</v>
      </c>
      <c r="AJ22" s="132">
        <f t="shared" si="6"/>
        <v>7.8571428571428568</v>
      </c>
      <c r="AK22" t="s">
        <v>83</v>
      </c>
      <c r="AN22" s="9" t="s">
        <v>589</v>
      </c>
      <c r="AO22" s="1">
        <v>46031</v>
      </c>
      <c r="AP22" s="1">
        <v>46071</v>
      </c>
      <c r="AQ22">
        <f t="shared" si="7"/>
        <v>40</v>
      </c>
      <c r="AR22" s="132">
        <f t="shared" si="8"/>
        <v>5.7142857142857144</v>
      </c>
      <c r="AS22" t="s">
        <v>1079</v>
      </c>
      <c r="AV22" t="s">
        <v>415</v>
      </c>
      <c r="AW22" s="1">
        <v>46046</v>
      </c>
      <c r="AX22" s="1">
        <v>46082</v>
      </c>
      <c r="AY22">
        <f t="shared" si="24"/>
        <v>36</v>
      </c>
      <c r="AZ22" s="132">
        <f t="shared" si="10"/>
        <v>5.1428571428571432</v>
      </c>
      <c r="BA22" t="s">
        <v>1281</v>
      </c>
      <c r="BB22" t="s">
        <v>138</v>
      </c>
      <c r="BE22" t="s">
        <v>1030</v>
      </c>
      <c r="BF22" s="1">
        <v>46076</v>
      </c>
      <c r="BG22" s="1">
        <v>46103</v>
      </c>
      <c r="BH22">
        <f t="shared" si="27"/>
        <v>27</v>
      </c>
      <c r="BI22" s="132">
        <f t="shared" si="30"/>
        <v>3.8571428571428572</v>
      </c>
      <c r="BJ22" t="s">
        <v>1359</v>
      </c>
      <c r="BK22" t="s">
        <v>131</v>
      </c>
      <c r="BN22" t="s">
        <v>1292</v>
      </c>
      <c r="BO22" s="1">
        <v>46105</v>
      </c>
      <c r="BP22" s="1">
        <v>46136</v>
      </c>
      <c r="BQ22">
        <f t="shared" si="20"/>
        <v>31</v>
      </c>
      <c r="BR22" s="132">
        <f t="shared" si="21"/>
        <v>4.4285714285714288</v>
      </c>
      <c r="BS22" t="s">
        <v>1239</v>
      </c>
      <c r="BT22" t="s">
        <v>1402</v>
      </c>
      <c r="BW22" t="s">
        <v>1030</v>
      </c>
      <c r="BX22" s="1">
        <v>46232</v>
      </c>
      <c r="BY22" s="1">
        <v>46280</v>
      </c>
      <c r="BZ22">
        <f t="shared" si="13"/>
        <v>48</v>
      </c>
      <c r="CA22" s="132">
        <f t="shared" si="31"/>
        <v>6.8571428571428568</v>
      </c>
      <c r="CB22" t="s">
        <v>1432</v>
      </c>
      <c r="CC22" t="s">
        <v>131</v>
      </c>
      <c r="CG22" s="1"/>
      <c r="CH22" s="1"/>
      <c r="CJ22" s="132"/>
    </row>
    <row r="23" spans="1:92" x14ac:dyDescent="0.25">
      <c r="A23" t="s">
        <v>708</v>
      </c>
      <c r="B23" s="1">
        <v>45845</v>
      </c>
      <c r="C23" s="1">
        <v>45928</v>
      </c>
      <c r="D23">
        <f t="shared" si="0"/>
        <v>83</v>
      </c>
      <c r="E23" s="132">
        <f t="shared" si="1"/>
        <v>11.857142857142858</v>
      </c>
      <c r="G23" t="s">
        <v>710</v>
      </c>
      <c r="I23" t="s">
        <v>701</v>
      </c>
      <c r="J23" s="1">
        <v>45897</v>
      </c>
      <c r="K23" s="1">
        <v>45938</v>
      </c>
      <c r="L23">
        <f t="shared" si="17"/>
        <v>41</v>
      </c>
      <c r="M23" s="132">
        <f t="shared" si="18"/>
        <v>5.8571428571428568</v>
      </c>
      <c r="O23" t="s">
        <v>769</v>
      </c>
      <c r="Q23" t="s">
        <v>716</v>
      </c>
      <c r="R23" s="1">
        <v>45913</v>
      </c>
      <c r="S23" s="1">
        <v>45932</v>
      </c>
      <c r="T23">
        <f t="shared" si="28"/>
        <v>19</v>
      </c>
      <c r="U23" s="132">
        <f t="shared" si="29"/>
        <v>2.7142857142857144</v>
      </c>
      <c r="V23" t="s">
        <v>907</v>
      </c>
      <c r="X23" t="s">
        <v>701</v>
      </c>
      <c r="Y23" s="1">
        <v>45952</v>
      </c>
      <c r="Z23" s="1">
        <v>45991</v>
      </c>
      <c r="AA23">
        <f t="shared" si="4"/>
        <v>39</v>
      </c>
      <c r="AB23" s="132">
        <f t="shared" si="19"/>
        <v>5.5714285714285712</v>
      </c>
      <c r="AC23" t="s">
        <v>1128</v>
      </c>
      <c r="AF23" t="s">
        <v>758</v>
      </c>
      <c r="AG23" s="1">
        <v>46029</v>
      </c>
      <c r="AH23" s="1">
        <v>46070</v>
      </c>
      <c r="AI23">
        <f t="shared" si="5"/>
        <v>41</v>
      </c>
      <c r="AJ23" s="132">
        <f t="shared" si="6"/>
        <v>5.8571428571428568</v>
      </c>
      <c r="AK23" t="s">
        <v>1171</v>
      </c>
      <c r="AN23" s="9" t="s">
        <v>589</v>
      </c>
      <c r="AO23" s="1">
        <v>45999</v>
      </c>
      <c r="AP23" s="1">
        <v>46059</v>
      </c>
      <c r="AQ23">
        <f t="shared" si="7"/>
        <v>60</v>
      </c>
      <c r="AR23" s="132">
        <f t="shared" si="8"/>
        <v>8.5714285714285712</v>
      </c>
      <c r="AS23" t="s">
        <v>1236</v>
      </c>
      <c r="AV23" t="s">
        <v>415</v>
      </c>
      <c r="AW23" s="1">
        <v>46044</v>
      </c>
      <c r="AX23" s="1">
        <v>46099</v>
      </c>
      <c r="AY23">
        <f t="shared" si="24"/>
        <v>55</v>
      </c>
      <c r="AZ23" s="132">
        <f t="shared" si="10"/>
        <v>7.8571428571428568</v>
      </c>
      <c r="BA23" t="s">
        <v>1287</v>
      </c>
      <c r="BB23" t="s">
        <v>1295</v>
      </c>
      <c r="BE23" t="s">
        <v>1030</v>
      </c>
      <c r="BF23" s="1">
        <v>46079</v>
      </c>
      <c r="BG23" s="1">
        <v>46121</v>
      </c>
      <c r="BH23">
        <f t="shared" si="27"/>
        <v>42</v>
      </c>
      <c r="BI23" s="132">
        <f t="shared" si="30"/>
        <v>6</v>
      </c>
      <c r="BJ23" t="s">
        <v>1375</v>
      </c>
      <c r="BK23" t="s">
        <v>148</v>
      </c>
      <c r="BN23" t="s">
        <v>1292</v>
      </c>
      <c r="BO23" s="1">
        <v>46118</v>
      </c>
      <c r="BP23" s="1">
        <v>46176</v>
      </c>
      <c r="BQ23">
        <f t="shared" si="20"/>
        <v>58</v>
      </c>
      <c r="BR23" s="132">
        <f t="shared" si="21"/>
        <v>8.2857142857142865</v>
      </c>
      <c r="BS23" t="s">
        <v>1399</v>
      </c>
      <c r="BT23" t="s">
        <v>167</v>
      </c>
      <c r="BW23" t="s">
        <v>1030</v>
      </c>
      <c r="BX23" s="1">
        <v>46140</v>
      </c>
      <c r="BY23" s="1">
        <v>46173</v>
      </c>
      <c r="BZ23">
        <f t="shared" si="13"/>
        <v>33</v>
      </c>
      <c r="CA23" s="132">
        <f t="shared" si="31"/>
        <v>4.7142857142857144</v>
      </c>
      <c r="CB23" t="s">
        <v>1435</v>
      </c>
      <c r="CC23" t="s">
        <v>1297</v>
      </c>
      <c r="CG23" s="1"/>
      <c r="CH23" s="1"/>
      <c r="CJ23" s="132"/>
    </row>
    <row r="24" spans="1:92" x14ac:dyDescent="0.25">
      <c r="A24" t="s">
        <v>708</v>
      </c>
      <c r="B24" s="1">
        <v>45869</v>
      </c>
      <c r="C24" s="1">
        <v>45953</v>
      </c>
      <c r="D24">
        <f t="shared" si="0"/>
        <v>84</v>
      </c>
      <c r="E24" s="132">
        <f t="shared" si="1"/>
        <v>12</v>
      </c>
      <c r="G24" t="s">
        <v>711</v>
      </c>
      <c r="I24" t="s">
        <v>701</v>
      </c>
      <c r="J24" s="1">
        <v>45895</v>
      </c>
      <c r="K24" s="1">
        <v>45921</v>
      </c>
      <c r="L24">
        <f t="shared" si="17"/>
        <v>26</v>
      </c>
      <c r="M24" s="132">
        <f t="shared" si="18"/>
        <v>3.7142857142857144</v>
      </c>
      <c r="O24" t="s">
        <v>788</v>
      </c>
      <c r="Q24" t="s">
        <v>716</v>
      </c>
      <c r="R24" s="1">
        <v>45924</v>
      </c>
      <c r="S24" s="1">
        <v>45952</v>
      </c>
      <c r="T24">
        <f t="shared" si="28"/>
        <v>28</v>
      </c>
      <c r="U24" s="132">
        <f t="shared" si="29"/>
        <v>4</v>
      </c>
      <c r="V24" t="s">
        <v>589</v>
      </c>
      <c r="X24" t="s">
        <v>701</v>
      </c>
      <c r="Y24" s="1">
        <v>45958</v>
      </c>
      <c r="Z24" s="1">
        <v>45982</v>
      </c>
      <c r="AA24">
        <f t="shared" si="4"/>
        <v>24</v>
      </c>
      <c r="AB24" s="132">
        <f t="shared" si="19"/>
        <v>3.4285714285714284</v>
      </c>
      <c r="AC24" t="s">
        <v>1133</v>
      </c>
      <c r="AF24" t="s">
        <v>758</v>
      </c>
      <c r="AG24" s="1">
        <v>45986</v>
      </c>
      <c r="AH24" s="1">
        <v>46053</v>
      </c>
      <c r="AI24">
        <f t="shared" si="5"/>
        <v>67</v>
      </c>
      <c r="AJ24" s="132">
        <f t="shared" si="6"/>
        <v>9.5714285714285712</v>
      </c>
      <c r="AK24" t="s">
        <v>1190</v>
      </c>
      <c r="AN24" s="9" t="s">
        <v>589</v>
      </c>
      <c r="AO24" s="1">
        <v>46035</v>
      </c>
      <c r="AP24" s="1">
        <v>46075</v>
      </c>
      <c r="AQ24">
        <f t="shared" si="7"/>
        <v>40</v>
      </c>
      <c r="AR24" s="132">
        <f t="shared" si="8"/>
        <v>5.7142857142857144</v>
      </c>
      <c r="AS24" t="s">
        <v>1239</v>
      </c>
      <c r="AV24" t="s">
        <v>415</v>
      </c>
      <c r="AW24" s="1">
        <v>46065</v>
      </c>
      <c r="AX24" s="1">
        <v>46110</v>
      </c>
      <c r="AY24">
        <f t="shared" si="24"/>
        <v>45</v>
      </c>
      <c r="AZ24" s="132">
        <f t="shared" si="10"/>
        <v>6.4285714285714288</v>
      </c>
      <c r="BA24" t="s">
        <v>1314</v>
      </c>
      <c r="BB24" t="s">
        <v>233</v>
      </c>
      <c r="BE24" t="s">
        <v>1030</v>
      </c>
      <c r="BF24" s="1">
        <v>46079</v>
      </c>
      <c r="BG24" s="1">
        <v>46121</v>
      </c>
      <c r="BH24">
        <f t="shared" si="27"/>
        <v>42</v>
      </c>
      <c r="BI24" s="132">
        <f t="shared" si="30"/>
        <v>6</v>
      </c>
      <c r="BJ24" t="s">
        <v>1376</v>
      </c>
      <c r="BK24" t="s">
        <v>148</v>
      </c>
      <c r="BN24" t="s">
        <v>1292</v>
      </c>
      <c r="BO24" s="1">
        <v>46118</v>
      </c>
      <c r="BP24" s="1">
        <v>46152</v>
      </c>
      <c r="BQ24">
        <f t="shared" si="20"/>
        <v>34</v>
      </c>
      <c r="BR24" s="132">
        <f t="shared" si="21"/>
        <v>4.8571428571428568</v>
      </c>
      <c r="BS24" t="s">
        <v>1406</v>
      </c>
      <c r="BT24" t="s">
        <v>1407</v>
      </c>
      <c r="BW24" t="s">
        <v>415</v>
      </c>
      <c r="BX24" s="1">
        <v>46125</v>
      </c>
      <c r="BY24" s="1">
        <v>46152</v>
      </c>
      <c r="BZ24">
        <f t="shared" si="13"/>
        <v>27</v>
      </c>
      <c r="CA24" s="132">
        <f t="shared" si="31"/>
        <v>3.8571428571428572</v>
      </c>
      <c r="CB24" t="s">
        <v>1423</v>
      </c>
      <c r="CC24" t="s">
        <v>131</v>
      </c>
      <c r="CG24" s="1"/>
      <c r="CH24" s="1"/>
      <c r="CJ24" s="132"/>
    </row>
    <row r="25" spans="1:92" x14ac:dyDescent="0.25">
      <c r="A25" t="s">
        <v>708</v>
      </c>
      <c r="B25" s="1">
        <v>45866</v>
      </c>
      <c r="C25" s="1">
        <v>45872</v>
      </c>
      <c r="D25">
        <f t="shared" si="0"/>
        <v>6</v>
      </c>
      <c r="E25" s="132">
        <f t="shared" si="1"/>
        <v>0.8571428571428571</v>
      </c>
      <c r="G25" t="s">
        <v>738</v>
      </c>
      <c r="I25" t="s">
        <v>701</v>
      </c>
      <c r="J25" s="1">
        <v>45897</v>
      </c>
      <c r="K25" s="1">
        <v>45938</v>
      </c>
      <c r="L25">
        <f t="shared" si="17"/>
        <v>41</v>
      </c>
      <c r="M25" s="132">
        <f t="shared" si="18"/>
        <v>5.8571428571428568</v>
      </c>
      <c r="O25" t="s">
        <v>768</v>
      </c>
      <c r="Q25" t="s">
        <v>758</v>
      </c>
      <c r="R25" s="1">
        <v>45950</v>
      </c>
      <c r="S25" s="1">
        <v>45991</v>
      </c>
      <c r="T25">
        <f t="shared" si="28"/>
        <v>41</v>
      </c>
      <c r="U25" s="132">
        <f t="shared" si="29"/>
        <v>5.8571428571428568</v>
      </c>
      <c r="V25" t="s">
        <v>891</v>
      </c>
      <c r="X25" t="s">
        <v>701</v>
      </c>
      <c r="Y25" s="1">
        <v>45985</v>
      </c>
      <c r="Z25" s="1">
        <v>46041</v>
      </c>
      <c r="AA25">
        <f t="shared" si="4"/>
        <v>56</v>
      </c>
      <c r="AB25" s="132">
        <f t="shared" si="19"/>
        <v>8</v>
      </c>
      <c r="AC25" t="s">
        <v>1136</v>
      </c>
      <c r="AF25" t="s">
        <v>758</v>
      </c>
      <c r="AG25" s="1">
        <v>46035</v>
      </c>
      <c r="AH25" s="1">
        <v>46118</v>
      </c>
      <c r="AI25">
        <f t="shared" si="5"/>
        <v>83</v>
      </c>
      <c r="AJ25" s="132">
        <f t="shared" si="6"/>
        <v>11.857142857142858</v>
      </c>
      <c r="AK25" t="s">
        <v>1196</v>
      </c>
      <c r="AN25" t="s">
        <v>758</v>
      </c>
      <c r="AO25" s="1">
        <v>46013</v>
      </c>
      <c r="AP25" s="1">
        <v>46040</v>
      </c>
      <c r="AQ25">
        <f t="shared" ref="AQ25:AQ31" si="34">_xlfn.DAYS(AP25,AO25)</f>
        <v>27</v>
      </c>
      <c r="AR25" s="132">
        <f t="shared" si="8"/>
        <v>3.8571428571428572</v>
      </c>
      <c r="AV25" t="s">
        <v>415</v>
      </c>
      <c r="AW25" s="1">
        <v>46055</v>
      </c>
      <c r="AX25" s="1">
        <v>46082</v>
      </c>
      <c r="AY25">
        <f t="shared" si="24"/>
        <v>27</v>
      </c>
      <c r="AZ25" s="132">
        <f t="shared" si="10"/>
        <v>3.8571428571428572</v>
      </c>
      <c r="BA25" t="s">
        <v>1143</v>
      </c>
      <c r="BB25" t="s">
        <v>131</v>
      </c>
      <c r="BE25" t="s">
        <v>1030</v>
      </c>
      <c r="BF25" s="1">
        <v>46104</v>
      </c>
      <c r="BG25" s="1">
        <v>46145</v>
      </c>
      <c r="BH25">
        <f t="shared" si="27"/>
        <v>41</v>
      </c>
      <c r="BI25" s="132">
        <f t="shared" si="30"/>
        <v>5.8571428571428568</v>
      </c>
      <c r="BJ25" t="s">
        <v>1377</v>
      </c>
      <c r="BK25" t="s">
        <v>244</v>
      </c>
      <c r="BQ25">
        <f t="shared" si="20"/>
        <v>0</v>
      </c>
      <c r="BR25" s="132">
        <f t="shared" si="21"/>
        <v>0</v>
      </c>
      <c r="BW25" t="s">
        <v>415</v>
      </c>
      <c r="BX25" s="1">
        <v>46132</v>
      </c>
      <c r="BY25" s="1">
        <v>46159</v>
      </c>
      <c r="BZ25">
        <f t="shared" si="13"/>
        <v>27</v>
      </c>
      <c r="CA25" s="132">
        <f t="shared" si="31"/>
        <v>3.8571428571428572</v>
      </c>
      <c r="CB25" t="s">
        <v>1426</v>
      </c>
      <c r="CC25" t="s">
        <v>131</v>
      </c>
      <c r="CG25" s="1"/>
      <c r="CH25" s="1"/>
      <c r="CJ25" s="132"/>
    </row>
    <row r="26" spans="1:92" x14ac:dyDescent="0.25">
      <c r="A26" t="s">
        <v>708</v>
      </c>
      <c r="B26" s="1">
        <v>45894</v>
      </c>
      <c r="C26" s="1">
        <v>45921</v>
      </c>
      <c r="D26">
        <f t="shared" si="0"/>
        <v>27</v>
      </c>
      <c r="E26" s="132">
        <f t="shared" si="1"/>
        <v>3.8571428571428572</v>
      </c>
      <c r="G26" t="s">
        <v>733</v>
      </c>
      <c r="I26" t="s">
        <v>830</v>
      </c>
      <c r="J26" s="1">
        <v>45904</v>
      </c>
      <c r="K26" s="1">
        <v>45945</v>
      </c>
      <c r="L26">
        <f t="shared" si="17"/>
        <v>41</v>
      </c>
      <c r="M26" s="132">
        <f t="shared" si="18"/>
        <v>5.8571428571428568</v>
      </c>
      <c r="O26" t="s">
        <v>831</v>
      </c>
      <c r="Q26" t="s">
        <v>758</v>
      </c>
      <c r="R26" s="1">
        <v>45915</v>
      </c>
      <c r="S26" s="1">
        <v>45935</v>
      </c>
      <c r="T26">
        <f t="shared" ref="T26:T39" si="35">_xlfn.DAYS(S26,R26)</f>
        <v>20</v>
      </c>
      <c r="U26" s="132">
        <f t="shared" si="29"/>
        <v>2.8571428571428572</v>
      </c>
      <c r="V26" t="s">
        <v>892</v>
      </c>
      <c r="X26" t="s">
        <v>701</v>
      </c>
      <c r="Y26" s="1">
        <v>46008</v>
      </c>
      <c r="Z26" s="1">
        <v>46068</v>
      </c>
      <c r="AA26">
        <f t="shared" si="4"/>
        <v>60</v>
      </c>
      <c r="AB26" s="132">
        <f t="shared" si="19"/>
        <v>8.5714285714285712</v>
      </c>
      <c r="AC26" t="s">
        <v>998</v>
      </c>
      <c r="AF26" t="s">
        <v>704</v>
      </c>
      <c r="AG26" s="1">
        <v>45997</v>
      </c>
      <c r="AH26" s="1">
        <v>46025</v>
      </c>
      <c r="AI26">
        <f t="shared" si="5"/>
        <v>28</v>
      </c>
      <c r="AJ26" s="132">
        <f t="shared" si="6"/>
        <v>4</v>
      </c>
      <c r="AK26" t="s">
        <v>1188</v>
      </c>
      <c r="AN26" t="s">
        <v>758</v>
      </c>
      <c r="AO26" s="1">
        <v>46048</v>
      </c>
      <c r="AP26" s="1">
        <v>46104</v>
      </c>
      <c r="AQ26">
        <f t="shared" si="34"/>
        <v>56</v>
      </c>
      <c r="AR26" s="132">
        <f t="shared" si="8"/>
        <v>8</v>
      </c>
      <c r="AS26" t="s">
        <v>1215</v>
      </c>
      <c r="AV26" t="s">
        <v>1292</v>
      </c>
      <c r="AW26" s="1">
        <v>46049</v>
      </c>
      <c r="AX26" s="1">
        <v>46068</v>
      </c>
      <c r="AY26">
        <f t="shared" si="24"/>
        <v>19</v>
      </c>
      <c r="AZ26" s="132">
        <f t="shared" si="10"/>
        <v>2.7142857142857144</v>
      </c>
      <c r="BA26" t="s">
        <v>1336</v>
      </c>
      <c r="BB26" t="s">
        <v>131</v>
      </c>
      <c r="BE26" t="s">
        <v>1030</v>
      </c>
      <c r="BF26" s="1">
        <v>46090</v>
      </c>
      <c r="BG26" s="1">
        <v>46117</v>
      </c>
      <c r="BH26">
        <f t="shared" si="27"/>
        <v>27</v>
      </c>
      <c r="BI26" s="132">
        <f t="shared" si="30"/>
        <v>3.8571428571428572</v>
      </c>
      <c r="BJ26" t="s">
        <v>1361</v>
      </c>
      <c r="BK26" t="s">
        <v>804</v>
      </c>
      <c r="BQ26">
        <f t="shared" si="20"/>
        <v>0</v>
      </c>
      <c r="BR26" s="132">
        <f t="shared" si="21"/>
        <v>0</v>
      </c>
      <c r="BW26" t="s">
        <v>415</v>
      </c>
      <c r="BX26" s="1">
        <v>46133</v>
      </c>
      <c r="BY26" s="1">
        <v>46215</v>
      </c>
      <c r="BZ26">
        <f t="shared" si="13"/>
        <v>82</v>
      </c>
      <c r="CA26" s="132">
        <f t="shared" si="31"/>
        <v>11.714285714285714</v>
      </c>
      <c r="CB26" t="s">
        <v>1013</v>
      </c>
      <c r="CC26" t="s">
        <v>804</v>
      </c>
      <c r="CG26" s="1"/>
      <c r="CH26" s="1"/>
      <c r="CJ26" s="132"/>
    </row>
    <row r="27" spans="1:92" x14ac:dyDescent="0.25">
      <c r="A27" t="s">
        <v>704</v>
      </c>
      <c r="B27" s="1">
        <v>45841</v>
      </c>
      <c r="C27" s="1">
        <v>45854</v>
      </c>
      <c r="D27">
        <f t="shared" si="0"/>
        <v>13</v>
      </c>
      <c r="E27" s="132">
        <f t="shared" si="1"/>
        <v>1.8571428571428572</v>
      </c>
      <c r="F27" s="88" t="s">
        <v>1108</v>
      </c>
      <c r="G27" t="s">
        <v>705</v>
      </c>
      <c r="I27" s="16" t="s">
        <v>771</v>
      </c>
      <c r="J27" s="133">
        <v>45945</v>
      </c>
      <c r="K27" s="133">
        <v>45987</v>
      </c>
      <c r="L27" s="16">
        <f t="shared" si="17"/>
        <v>42</v>
      </c>
      <c r="M27" s="134">
        <f t="shared" si="18"/>
        <v>6</v>
      </c>
      <c r="N27" s="16"/>
      <c r="O27" s="16" t="s">
        <v>772</v>
      </c>
      <c r="Q27" t="s">
        <v>758</v>
      </c>
      <c r="R27" s="1">
        <v>45915</v>
      </c>
      <c r="S27" s="1">
        <v>45942</v>
      </c>
      <c r="T27">
        <f t="shared" si="35"/>
        <v>27</v>
      </c>
      <c r="U27" s="132">
        <f t="shared" si="29"/>
        <v>3.8571428571428572</v>
      </c>
      <c r="V27" t="s">
        <v>903</v>
      </c>
      <c r="X27" t="s">
        <v>701</v>
      </c>
      <c r="Y27" s="1">
        <v>46027</v>
      </c>
      <c r="Z27" s="1">
        <v>46054</v>
      </c>
      <c r="AA27">
        <f t="shared" si="4"/>
        <v>27</v>
      </c>
      <c r="AB27" s="132">
        <f t="shared" si="19"/>
        <v>3.8571428571428572</v>
      </c>
      <c r="AC27" t="s">
        <v>1145</v>
      </c>
      <c r="AF27" t="s">
        <v>704</v>
      </c>
      <c r="AG27" s="1">
        <v>45994</v>
      </c>
      <c r="AH27" s="1">
        <v>46047</v>
      </c>
      <c r="AI27">
        <f t="shared" si="5"/>
        <v>53</v>
      </c>
      <c r="AJ27" s="132">
        <f t="shared" si="6"/>
        <v>7.5714285714285712</v>
      </c>
      <c r="AK27" t="s">
        <v>1179</v>
      </c>
      <c r="AN27" t="s">
        <v>758</v>
      </c>
      <c r="AO27" s="1">
        <v>46027</v>
      </c>
      <c r="AP27" s="1">
        <v>46107</v>
      </c>
      <c r="AQ27">
        <f t="shared" si="34"/>
        <v>80</v>
      </c>
      <c r="AR27" s="132">
        <f t="shared" si="8"/>
        <v>11.428571428571429</v>
      </c>
      <c r="AS27" t="s">
        <v>1220</v>
      </c>
      <c r="AY27">
        <f t="shared" si="24"/>
        <v>0</v>
      </c>
      <c r="AZ27" s="132">
        <f t="shared" si="10"/>
        <v>0</v>
      </c>
      <c r="BE27" t="s">
        <v>1030</v>
      </c>
      <c r="BF27" s="1">
        <v>46090</v>
      </c>
      <c r="BG27" s="1">
        <v>46152</v>
      </c>
      <c r="BH27">
        <f t="shared" si="27"/>
        <v>62</v>
      </c>
      <c r="BI27" s="132">
        <f t="shared" si="30"/>
        <v>8.8571428571428577</v>
      </c>
      <c r="BJ27" t="s">
        <v>1366</v>
      </c>
      <c r="BK27" t="s">
        <v>1297</v>
      </c>
      <c r="BQ27">
        <f t="shared" si="20"/>
        <v>0</v>
      </c>
      <c r="BR27" s="132">
        <f t="shared" si="21"/>
        <v>0</v>
      </c>
      <c r="BW27" t="s">
        <v>1292</v>
      </c>
      <c r="BX27" s="1">
        <v>46126</v>
      </c>
      <c r="BY27" s="1">
        <v>46167</v>
      </c>
      <c r="BZ27">
        <f t="shared" si="13"/>
        <v>41</v>
      </c>
      <c r="CA27" s="132">
        <f t="shared" si="31"/>
        <v>5.8571428571428568</v>
      </c>
      <c r="CB27" t="s">
        <v>1424</v>
      </c>
      <c r="CC27" t="s">
        <v>804</v>
      </c>
      <c r="CG27" s="1"/>
      <c r="CH27" s="1"/>
      <c r="CJ27" s="132"/>
    </row>
    <row r="28" spans="1:92" x14ac:dyDescent="0.25">
      <c r="A28" t="s">
        <v>704</v>
      </c>
      <c r="B28" s="1">
        <v>45873</v>
      </c>
      <c r="C28" s="1">
        <v>45914</v>
      </c>
      <c r="D28">
        <f t="shared" si="0"/>
        <v>41</v>
      </c>
      <c r="E28" s="132">
        <f t="shared" si="1"/>
        <v>5.8571428571428568</v>
      </c>
      <c r="F28" s="88">
        <v>42.86</v>
      </c>
      <c r="G28" t="s">
        <v>79</v>
      </c>
      <c r="I28" t="s">
        <v>758</v>
      </c>
      <c r="J28" s="1">
        <v>45882</v>
      </c>
      <c r="K28" s="1">
        <v>45909</v>
      </c>
      <c r="L28">
        <f t="shared" si="17"/>
        <v>27</v>
      </c>
      <c r="M28" s="132">
        <f t="shared" si="18"/>
        <v>3.8571428571428572</v>
      </c>
      <c r="N28">
        <v>55.43</v>
      </c>
      <c r="O28" t="s">
        <v>759</v>
      </c>
      <c r="Q28" t="s">
        <v>758</v>
      </c>
      <c r="R28" s="1">
        <v>45950</v>
      </c>
      <c r="S28" s="1">
        <v>46005</v>
      </c>
      <c r="T28">
        <f t="shared" si="35"/>
        <v>55</v>
      </c>
      <c r="U28" s="132">
        <f t="shared" si="29"/>
        <v>7.8571428571428568</v>
      </c>
      <c r="V28" t="s">
        <v>75</v>
      </c>
      <c r="X28" t="s">
        <v>701</v>
      </c>
      <c r="Y28" s="1">
        <v>45979</v>
      </c>
      <c r="Z28" s="1">
        <v>46039</v>
      </c>
      <c r="AA28">
        <f t="shared" si="4"/>
        <v>60</v>
      </c>
      <c r="AB28" s="132">
        <f t="shared" si="19"/>
        <v>8.5714285714285712</v>
      </c>
      <c r="AC28" t="s">
        <v>1149</v>
      </c>
      <c r="AF28" t="s">
        <v>15</v>
      </c>
      <c r="AJ28" s="132">
        <f>SUM(AJ2:AJ27)</f>
        <v>137.00000000000003</v>
      </c>
      <c r="AN28" t="s">
        <v>758</v>
      </c>
      <c r="AO28" s="1">
        <v>46013</v>
      </c>
      <c r="AP28" s="1">
        <v>46054</v>
      </c>
      <c r="AQ28">
        <f t="shared" si="34"/>
        <v>41</v>
      </c>
      <c r="AR28" s="132">
        <f t="shared" si="8"/>
        <v>5.8571428571428568</v>
      </c>
      <c r="AS28" t="s">
        <v>1234</v>
      </c>
      <c r="AY28">
        <f t="shared" si="24"/>
        <v>0</v>
      </c>
      <c r="AZ28" s="132">
        <f t="shared" si="10"/>
        <v>0</v>
      </c>
      <c r="BE28" t="s">
        <v>1030</v>
      </c>
      <c r="BF28" s="1">
        <v>46069</v>
      </c>
      <c r="BG28" s="1">
        <v>46120</v>
      </c>
      <c r="BH28">
        <f t="shared" si="27"/>
        <v>51</v>
      </c>
      <c r="BI28" s="132">
        <f t="shared" si="30"/>
        <v>7.2857142857142856</v>
      </c>
      <c r="BJ28" t="s">
        <v>1369</v>
      </c>
      <c r="BK28" t="s">
        <v>1370</v>
      </c>
      <c r="BQ28">
        <f t="shared" si="20"/>
        <v>0</v>
      </c>
      <c r="BR28" s="132">
        <f t="shared" si="21"/>
        <v>0</v>
      </c>
      <c r="BW28" t="s">
        <v>1292</v>
      </c>
      <c r="BX28" s="1">
        <v>46139</v>
      </c>
      <c r="BY28" s="1">
        <v>46166</v>
      </c>
      <c r="BZ28">
        <f t="shared" si="13"/>
        <v>27</v>
      </c>
      <c r="CA28" s="132">
        <f t="shared" si="31"/>
        <v>3.8571428571428572</v>
      </c>
      <c r="CB28" t="s">
        <v>1417</v>
      </c>
      <c r="CC28" t="s">
        <v>131</v>
      </c>
      <c r="CG28" s="1"/>
      <c r="CH28" s="1"/>
      <c r="CJ28" s="132"/>
    </row>
    <row r="29" spans="1:92" x14ac:dyDescent="0.25">
      <c r="A29" t="s">
        <v>704</v>
      </c>
      <c r="B29" s="1">
        <v>45870</v>
      </c>
      <c r="C29" s="1">
        <v>45911</v>
      </c>
      <c r="D29">
        <f t="shared" si="0"/>
        <v>41</v>
      </c>
      <c r="E29" s="132">
        <f t="shared" si="1"/>
        <v>5.8571428571428568</v>
      </c>
      <c r="G29" t="s">
        <v>83</v>
      </c>
      <c r="I29" t="s">
        <v>758</v>
      </c>
      <c r="J29" s="1">
        <v>45880</v>
      </c>
      <c r="K29" s="1">
        <v>45928</v>
      </c>
      <c r="L29">
        <f t="shared" si="17"/>
        <v>48</v>
      </c>
      <c r="M29" s="132">
        <f t="shared" si="18"/>
        <v>6.8571428571428568</v>
      </c>
      <c r="O29" t="s">
        <v>762</v>
      </c>
      <c r="Q29" t="s">
        <v>758</v>
      </c>
      <c r="R29" s="1">
        <v>45958</v>
      </c>
      <c r="S29" s="1">
        <v>45999</v>
      </c>
      <c r="T29">
        <f t="shared" si="35"/>
        <v>41</v>
      </c>
      <c r="U29" s="132">
        <f t="shared" si="29"/>
        <v>5.8571428571428568</v>
      </c>
      <c r="V29" t="s">
        <v>1052</v>
      </c>
      <c r="X29" t="s">
        <v>758</v>
      </c>
      <c r="Y29" s="1">
        <v>46006</v>
      </c>
      <c r="Z29" s="1">
        <v>46054</v>
      </c>
      <c r="AA29">
        <f t="shared" si="4"/>
        <v>48</v>
      </c>
      <c r="AB29" s="132">
        <f t="shared" si="19"/>
        <v>6.8571428571428568</v>
      </c>
      <c r="AC29" t="s">
        <v>769</v>
      </c>
      <c r="AN29" t="s">
        <v>758</v>
      </c>
      <c r="AO29" s="1">
        <v>46055</v>
      </c>
      <c r="AP29" s="1">
        <v>46110</v>
      </c>
      <c r="AQ29">
        <f t="shared" si="34"/>
        <v>55</v>
      </c>
      <c r="AR29" s="132">
        <f t="shared" si="8"/>
        <v>7.8571428571428568</v>
      </c>
      <c r="AS29" t="s">
        <v>1171</v>
      </c>
      <c r="AY29">
        <f t="shared" si="24"/>
        <v>0</v>
      </c>
      <c r="AZ29" s="132">
        <f t="shared" si="10"/>
        <v>0</v>
      </c>
      <c r="BE29" t="s">
        <v>1030</v>
      </c>
      <c r="BF29" s="1">
        <v>46077</v>
      </c>
      <c r="BG29" s="1">
        <v>46146</v>
      </c>
      <c r="BH29">
        <f t="shared" si="27"/>
        <v>69</v>
      </c>
      <c r="BI29" s="132">
        <f t="shared" si="30"/>
        <v>9.8571428571428577</v>
      </c>
      <c r="BJ29" t="s">
        <v>1382</v>
      </c>
      <c r="BK29" t="s">
        <v>1383</v>
      </c>
      <c r="BQ29">
        <f t="shared" si="20"/>
        <v>0</v>
      </c>
      <c r="BR29" s="132">
        <f t="shared" si="21"/>
        <v>0</v>
      </c>
      <c r="BW29" t="s">
        <v>1292</v>
      </c>
      <c r="BX29" s="1">
        <v>46129</v>
      </c>
      <c r="BY29" s="1">
        <v>46159</v>
      </c>
      <c r="BZ29">
        <f t="shared" si="13"/>
        <v>30</v>
      </c>
      <c r="CA29" s="132">
        <f t="shared" si="31"/>
        <v>4.2857142857142856</v>
      </c>
      <c r="CB29" t="s">
        <v>1428</v>
      </c>
      <c r="CC29" t="s">
        <v>804</v>
      </c>
      <c r="CG29" s="1"/>
      <c r="CH29" s="1"/>
      <c r="CJ29" s="132"/>
    </row>
    <row r="30" spans="1:92" x14ac:dyDescent="0.25">
      <c r="A30" t="s">
        <v>704</v>
      </c>
      <c r="B30" s="1">
        <v>45857</v>
      </c>
      <c r="C30" s="1">
        <v>45898</v>
      </c>
      <c r="D30">
        <f t="shared" si="0"/>
        <v>41</v>
      </c>
      <c r="E30" s="132">
        <f t="shared" si="1"/>
        <v>5.8571428571428568</v>
      </c>
      <c r="G30" t="s">
        <v>715</v>
      </c>
      <c r="I30" t="s">
        <v>758</v>
      </c>
      <c r="J30" s="1">
        <v>45894</v>
      </c>
      <c r="K30" s="1">
        <v>45921</v>
      </c>
      <c r="L30">
        <f t="shared" si="17"/>
        <v>27</v>
      </c>
      <c r="M30" s="132">
        <f t="shared" si="18"/>
        <v>3.8571428571428572</v>
      </c>
      <c r="O30" t="s">
        <v>770</v>
      </c>
      <c r="Q30" t="s">
        <v>758</v>
      </c>
      <c r="R30" s="1">
        <v>45936</v>
      </c>
      <c r="S30" s="1">
        <v>45977</v>
      </c>
      <c r="T30">
        <f t="shared" si="35"/>
        <v>41</v>
      </c>
      <c r="U30" s="132">
        <f t="shared" si="29"/>
        <v>5.8571428571428568</v>
      </c>
      <c r="V30" t="s">
        <v>1056</v>
      </c>
      <c r="X30" t="s">
        <v>758</v>
      </c>
      <c r="Y30" s="1">
        <v>45978</v>
      </c>
      <c r="Z30" s="1">
        <v>46012</v>
      </c>
      <c r="AA30">
        <f t="shared" si="4"/>
        <v>34</v>
      </c>
      <c r="AB30" s="132">
        <f t="shared" si="19"/>
        <v>4.8571428571428568</v>
      </c>
      <c r="AC30" t="s">
        <v>1091</v>
      </c>
      <c r="AN30" t="s">
        <v>704</v>
      </c>
      <c r="AO30" s="1">
        <v>46035</v>
      </c>
      <c r="AP30" s="1">
        <v>46066</v>
      </c>
      <c r="AQ30">
        <f t="shared" si="34"/>
        <v>31</v>
      </c>
      <c r="AR30" s="132">
        <f t="shared" si="8"/>
        <v>4.4285714285714288</v>
      </c>
      <c r="AS30" t="s">
        <v>1249</v>
      </c>
      <c r="AY30">
        <f t="shared" si="24"/>
        <v>0</v>
      </c>
      <c r="AZ30" s="132">
        <f t="shared" si="10"/>
        <v>0</v>
      </c>
      <c r="BE30" t="s">
        <v>1030</v>
      </c>
      <c r="BF30" s="1">
        <v>46079</v>
      </c>
      <c r="BG30" s="1">
        <v>46120</v>
      </c>
      <c r="BH30">
        <f t="shared" si="27"/>
        <v>41</v>
      </c>
      <c r="BI30" s="132">
        <f t="shared" si="30"/>
        <v>5.8571428571428568</v>
      </c>
      <c r="BJ30" t="s">
        <v>1385</v>
      </c>
      <c r="BK30" t="s">
        <v>233</v>
      </c>
      <c r="BQ30">
        <f t="shared" si="20"/>
        <v>0</v>
      </c>
      <c r="BR30" s="132">
        <f t="shared" si="21"/>
        <v>0</v>
      </c>
      <c r="BW30" t="s">
        <v>1292</v>
      </c>
      <c r="BX30" s="1">
        <v>46178</v>
      </c>
      <c r="BY30" s="1">
        <v>46231</v>
      </c>
      <c r="BZ30">
        <f t="shared" si="13"/>
        <v>53</v>
      </c>
      <c r="CA30" s="132">
        <f t="shared" si="31"/>
        <v>7.5714285714285712</v>
      </c>
      <c r="CB30" t="s">
        <v>769</v>
      </c>
      <c r="CC30" t="s">
        <v>148</v>
      </c>
      <c r="CG30" s="1"/>
      <c r="CH30" s="1"/>
      <c r="CJ30" s="132"/>
    </row>
    <row r="31" spans="1:92" x14ac:dyDescent="0.25">
      <c r="A31" t="s">
        <v>704</v>
      </c>
      <c r="B31" s="1">
        <v>45861</v>
      </c>
      <c r="C31" s="1">
        <v>45903</v>
      </c>
      <c r="D31">
        <f t="shared" si="0"/>
        <v>42</v>
      </c>
      <c r="E31" s="132">
        <f t="shared" si="1"/>
        <v>6</v>
      </c>
      <c r="G31" t="s">
        <v>730</v>
      </c>
      <c r="I31" t="s">
        <v>758</v>
      </c>
      <c r="J31" s="1">
        <v>45922</v>
      </c>
      <c r="K31" s="1">
        <v>46005</v>
      </c>
      <c r="L31">
        <f t="shared" si="17"/>
        <v>83</v>
      </c>
      <c r="M31" s="132">
        <f t="shared" si="18"/>
        <v>11.857142857142858</v>
      </c>
      <c r="O31" t="s">
        <v>774</v>
      </c>
      <c r="Q31" t="s">
        <v>758</v>
      </c>
      <c r="R31" s="1">
        <v>45936</v>
      </c>
      <c r="S31" s="1">
        <v>45977</v>
      </c>
      <c r="T31">
        <f t="shared" si="35"/>
        <v>41</v>
      </c>
      <c r="U31" s="132">
        <f t="shared" si="29"/>
        <v>5.8571428571428568</v>
      </c>
      <c r="V31" t="s">
        <v>1057</v>
      </c>
      <c r="X31" t="s">
        <v>758</v>
      </c>
      <c r="Y31" s="1">
        <v>46015</v>
      </c>
      <c r="Z31" s="1">
        <v>46068</v>
      </c>
      <c r="AA31">
        <f t="shared" si="4"/>
        <v>53</v>
      </c>
      <c r="AB31" s="132">
        <f t="shared" si="19"/>
        <v>7.5714285714285712</v>
      </c>
      <c r="AC31" t="s">
        <v>1138</v>
      </c>
      <c r="AN31" t="s">
        <v>704</v>
      </c>
      <c r="AO31" s="1">
        <v>46035</v>
      </c>
      <c r="AP31" s="1">
        <v>46096</v>
      </c>
      <c r="AQ31">
        <f t="shared" si="34"/>
        <v>61</v>
      </c>
      <c r="AR31" s="132">
        <f t="shared" si="8"/>
        <v>8.7142857142857135</v>
      </c>
      <c r="AS31" t="s">
        <v>1143</v>
      </c>
      <c r="AY31">
        <f t="shared" si="24"/>
        <v>0</v>
      </c>
      <c r="AZ31" s="132">
        <f t="shared" si="10"/>
        <v>0</v>
      </c>
      <c r="BE31" t="s">
        <v>1030</v>
      </c>
      <c r="BF31" s="1">
        <v>46132</v>
      </c>
      <c r="BG31" s="1">
        <v>46173</v>
      </c>
      <c r="BH31">
        <f t="shared" si="27"/>
        <v>41</v>
      </c>
      <c r="BI31" s="132">
        <f t="shared" si="30"/>
        <v>5.8571428571428568</v>
      </c>
      <c r="BJ31" t="s">
        <v>1387</v>
      </c>
      <c r="BK31" t="s">
        <v>1299</v>
      </c>
      <c r="BQ31">
        <f t="shared" si="20"/>
        <v>0</v>
      </c>
      <c r="BR31" s="132">
        <f t="shared" si="21"/>
        <v>0</v>
      </c>
      <c r="BW31" t="s">
        <v>1292</v>
      </c>
      <c r="BX31" s="1">
        <v>46174</v>
      </c>
      <c r="BY31" s="1">
        <v>46201</v>
      </c>
      <c r="BZ31">
        <f t="shared" si="13"/>
        <v>27</v>
      </c>
      <c r="CA31" s="132">
        <f t="shared" si="31"/>
        <v>3.8571428571428572</v>
      </c>
      <c r="CB31" t="s">
        <v>1433</v>
      </c>
      <c r="CC31" t="s">
        <v>1407</v>
      </c>
      <c r="CG31" s="1"/>
      <c r="CH31" s="1"/>
      <c r="CJ31" s="132"/>
    </row>
    <row r="32" spans="1:92" x14ac:dyDescent="0.25">
      <c r="A32" t="s">
        <v>704</v>
      </c>
      <c r="B32" s="1">
        <v>45868</v>
      </c>
      <c r="C32" s="1">
        <v>45894</v>
      </c>
      <c r="D32">
        <f t="shared" si="0"/>
        <v>26</v>
      </c>
      <c r="E32" s="132">
        <f t="shared" si="1"/>
        <v>3.7142857142857144</v>
      </c>
      <c r="G32" t="s">
        <v>741</v>
      </c>
      <c r="I32" t="s">
        <v>758</v>
      </c>
      <c r="J32" s="1">
        <v>45897</v>
      </c>
      <c r="K32" s="1">
        <v>45938</v>
      </c>
      <c r="L32">
        <f t="shared" si="17"/>
        <v>41</v>
      </c>
      <c r="M32" s="132">
        <f t="shared" si="18"/>
        <v>5.8571428571428568</v>
      </c>
      <c r="O32" t="s">
        <v>780</v>
      </c>
      <c r="Q32" t="s">
        <v>758</v>
      </c>
      <c r="R32" s="1">
        <v>45943</v>
      </c>
      <c r="S32" s="1">
        <v>45984</v>
      </c>
      <c r="T32">
        <f t="shared" si="35"/>
        <v>41</v>
      </c>
      <c r="U32" s="132">
        <f t="shared" si="29"/>
        <v>5.8571428571428568</v>
      </c>
      <c r="V32" t="s">
        <v>1059</v>
      </c>
      <c r="X32" t="s">
        <v>758</v>
      </c>
      <c r="Y32" s="1">
        <v>46034</v>
      </c>
      <c r="Z32" s="1">
        <v>46117</v>
      </c>
      <c r="AA32">
        <f t="shared" si="4"/>
        <v>83</v>
      </c>
      <c r="AB32" s="132">
        <f t="shared" si="19"/>
        <v>11.857142857142858</v>
      </c>
      <c r="AC32" t="s">
        <v>1141</v>
      </c>
      <c r="AR32" s="132">
        <f>SUM(AR2:AR31)</f>
        <v>180.14285714285714</v>
      </c>
      <c r="AY32">
        <f t="shared" si="24"/>
        <v>0</v>
      </c>
      <c r="AZ32" s="132">
        <f t="shared" si="10"/>
        <v>0</v>
      </c>
      <c r="BE32" t="s">
        <v>1030</v>
      </c>
      <c r="BF32" s="1">
        <v>46104</v>
      </c>
      <c r="BG32" s="1">
        <v>46145</v>
      </c>
      <c r="BH32">
        <f t="shared" si="27"/>
        <v>41</v>
      </c>
      <c r="BI32" s="132">
        <f t="shared" si="30"/>
        <v>5.8571428571428568</v>
      </c>
      <c r="BJ32" t="s">
        <v>1067</v>
      </c>
      <c r="BK32" t="s">
        <v>233</v>
      </c>
      <c r="BR32" s="132">
        <f>SUM(BR2:BR31)</f>
        <v>123.71428571428571</v>
      </c>
      <c r="BW32" t="s">
        <v>1292</v>
      </c>
      <c r="BX32" s="1">
        <v>46202</v>
      </c>
      <c r="BY32" s="1">
        <v>46299</v>
      </c>
      <c r="BZ32">
        <f t="shared" si="13"/>
        <v>97</v>
      </c>
      <c r="CA32" s="132">
        <f t="shared" si="31"/>
        <v>13.857142857142858</v>
      </c>
      <c r="CB32" t="s">
        <v>1439</v>
      </c>
      <c r="CC32" t="s">
        <v>233</v>
      </c>
      <c r="CG32" s="1"/>
      <c r="CH32" s="1"/>
      <c r="CJ32" s="132"/>
    </row>
    <row r="33" spans="1:88" x14ac:dyDescent="0.25">
      <c r="A33" t="s">
        <v>704</v>
      </c>
      <c r="B33" s="1">
        <v>45882</v>
      </c>
      <c r="C33" s="1">
        <v>45910</v>
      </c>
      <c r="D33">
        <f t="shared" si="0"/>
        <v>28</v>
      </c>
      <c r="E33" s="132">
        <f t="shared" si="1"/>
        <v>4</v>
      </c>
      <c r="G33" t="s">
        <v>734</v>
      </c>
      <c r="I33" t="s">
        <v>758</v>
      </c>
      <c r="J33" s="1">
        <v>45901</v>
      </c>
      <c r="K33" s="1">
        <v>45942</v>
      </c>
      <c r="L33">
        <f t="shared" si="17"/>
        <v>41</v>
      </c>
      <c r="M33" s="132">
        <f t="shared" si="18"/>
        <v>5.8571428571428568</v>
      </c>
      <c r="O33" t="s">
        <v>786</v>
      </c>
      <c r="Q33" t="s">
        <v>758</v>
      </c>
      <c r="R33" s="1">
        <v>45922</v>
      </c>
      <c r="S33" s="1">
        <v>45963</v>
      </c>
      <c r="T33">
        <f t="shared" si="35"/>
        <v>41</v>
      </c>
      <c r="U33" s="132">
        <f t="shared" si="29"/>
        <v>5.8571428571428568</v>
      </c>
      <c r="V33" t="s">
        <v>905</v>
      </c>
      <c r="X33" t="s">
        <v>758</v>
      </c>
      <c r="Y33" s="1">
        <v>45971</v>
      </c>
      <c r="Z33" s="1">
        <v>45998</v>
      </c>
      <c r="AA33">
        <f t="shared" si="4"/>
        <v>27</v>
      </c>
      <c r="AB33" s="132">
        <f t="shared" si="19"/>
        <v>3.8571428571428572</v>
      </c>
      <c r="AC33" t="s">
        <v>1143</v>
      </c>
      <c r="AY33">
        <f t="shared" si="24"/>
        <v>0</v>
      </c>
      <c r="AZ33" s="132">
        <f t="shared" si="10"/>
        <v>0</v>
      </c>
      <c r="BE33" t="s">
        <v>1030</v>
      </c>
      <c r="BF33" s="1">
        <v>46085</v>
      </c>
      <c r="BG33" s="1">
        <v>46124</v>
      </c>
      <c r="BH33">
        <f t="shared" si="27"/>
        <v>39</v>
      </c>
      <c r="BI33" s="132">
        <f t="shared" si="30"/>
        <v>5.5714285714285712</v>
      </c>
      <c r="BJ33" t="s">
        <v>1369</v>
      </c>
      <c r="BK33" t="s">
        <v>244</v>
      </c>
      <c r="BW33" t="s">
        <v>1292</v>
      </c>
      <c r="BX33" s="1">
        <v>46160</v>
      </c>
      <c r="BY33" s="1">
        <v>46187</v>
      </c>
      <c r="BZ33">
        <f t="shared" si="13"/>
        <v>27</v>
      </c>
      <c r="CA33" s="132">
        <f t="shared" si="31"/>
        <v>3.8571428571428572</v>
      </c>
      <c r="CB33" t="s">
        <v>1143</v>
      </c>
      <c r="CC33" t="s">
        <v>171</v>
      </c>
      <c r="CG33" s="1"/>
      <c r="CH33" s="1"/>
      <c r="CJ33" s="132"/>
    </row>
    <row r="34" spans="1:88" x14ac:dyDescent="0.25">
      <c r="A34" t="s">
        <v>704</v>
      </c>
      <c r="B34" s="1">
        <v>45858</v>
      </c>
      <c r="C34" s="1">
        <v>45926</v>
      </c>
      <c r="D34">
        <f t="shared" si="0"/>
        <v>68</v>
      </c>
      <c r="E34" s="132">
        <f t="shared" si="1"/>
        <v>9.7142857142857135</v>
      </c>
      <c r="G34" t="s">
        <v>732</v>
      </c>
      <c r="I34" t="s">
        <v>758</v>
      </c>
      <c r="J34" s="1">
        <v>45924</v>
      </c>
      <c r="K34" s="1">
        <v>45966</v>
      </c>
      <c r="L34">
        <f t="shared" si="17"/>
        <v>42</v>
      </c>
      <c r="M34" s="132">
        <f t="shared" si="18"/>
        <v>6</v>
      </c>
      <c r="O34" t="s">
        <v>833</v>
      </c>
      <c r="Q34" t="s">
        <v>758</v>
      </c>
      <c r="R34" s="1">
        <v>45960</v>
      </c>
      <c r="S34" s="1">
        <v>46009</v>
      </c>
      <c r="T34">
        <f t="shared" si="35"/>
        <v>49</v>
      </c>
      <c r="U34" s="132">
        <f t="shared" si="29"/>
        <v>7</v>
      </c>
      <c r="V34" t="s">
        <v>1067</v>
      </c>
      <c r="X34" t="s">
        <v>758</v>
      </c>
      <c r="Y34" s="1">
        <v>45965</v>
      </c>
      <c r="Z34" s="1">
        <v>46005</v>
      </c>
      <c r="AA34">
        <f t="shared" si="4"/>
        <v>40</v>
      </c>
      <c r="AB34" s="132">
        <f t="shared" si="19"/>
        <v>5.7142857142857144</v>
      </c>
      <c r="AC34" t="s">
        <v>1129</v>
      </c>
      <c r="AY34">
        <f t="shared" si="24"/>
        <v>0</v>
      </c>
      <c r="AZ34" s="132">
        <f t="shared" si="10"/>
        <v>0</v>
      </c>
      <c r="BE34" t="s">
        <v>415</v>
      </c>
      <c r="BF34" s="1">
        <v>46069</v>
      </c>
      <c r="BG34" s="1">
        <v>46103</v>
      </c>
      <c r="BH34">
        <f t="shared" si="27"/>
        <v>34</v>
      </c>
      <c r="BI34" s="132">
        <f t="shared" si="30"/>
        <v>4.8571428571428568</v>
      </c>
      <c r="BJ34" t="s">
        <v>1160</v>
      </c>
      <c r="BK34" t="s">
        <v>795</v>
      </c>
      <c r="CA34" s="132">
        <f>SUM(CA2:CA33)</f>
        <v>179.1428571428572</v>
      </c>
      <c r="CG34" s="1"/>
      <c r="CH34" s="1"/>
      <c r="CJ34" s="132"/>
    </row>
    <row r="35" spans="1:88" x14ac:dyDescent="0.25">
      <c r="A35" t="s">
        <v>728</v>
      </c>
      <c r="B35" s="1">
        <v>45901</v>
      </c>
      <c r="C35" s="1">
        <v>45926</v>
      </c>
      <c r="D35">
        <f t="shared" si="0"/>
        <v>25</v>
      </c>
      <c r="E35" s="132">
        <f t="shared" si="1"/>
        <v>3.5714285714285716</v>
      </c>
      <c r="G35" t="s">
        <v>748</v>
      </c>
      <c r="I35" t="s">
        <v>758</v>
      </c>
      <c r="J35" s="1">
        <v>45915</v>
      </c>
      <c r="K35" s="1">
        <v>45953</v>
      </c>
      <c r="L35">
        <f t="shared" si="17"/>
        <v>38</v>
      </c>
      <c r="M35" s="132">
        <f t="shared" si="18"/>
        <v>5.4285714285714288</v>
      </c>
      <c r="O35" t="s">
        <v>839</v>
      </c>
      <c r="Q35" t="s">
        <v>704</v>
      </c>
      <c r="R35" s="1">
        <v>45944</v>
      </c>
      <c r="S35" s="1">
        <v>45977</v>
      </c>
      <c r="T35">
        <f t="shared" si="35"/>
        <v>33</v>
      </c>
      <c r="U35" s="132">
        <f t="shared" si="29"/>
        <v>4.7142857142857144</v>
      </c>
      <c r="V35" t="s">
        <v>989</v>
      </c>
      <c r="X35" t="s">
        <v>704</v>
      </c>
      <c r="Y35" s="1">
        <v>45936</v>
      </c>
      <c r="Z35" s="1">
        <v>45991</v>
      </c>
      <c r="AA35">
        <f t="shared" ref="AA35:AA38" si="36">_xlfn.DAYS(Z35,Y35)</f>
        <v>55</v>
      </c>
      <c r="AB35" s="132">
        <f t="shared" ref="AB35:AB41" si="37">SUM(AA35/7)</f>
        <v>7.8571428571428568</v>
      </c>
      <c r="AC35" t="s">
        <v>1078</v>
      </c>
      <c r="BE35" t="s">
        <v>415</v>
      </c>
      <c r="BF35" s="1">
        <v>46096</v>
      </c>
      <c r="BG35" s="1">
        <v>46145</v>
      </c>
      <c r="BH35">
        <f t="shared" si="27"/>
        <v>49</v>
      </c>
      <c r="BI35" s="132">
        <f t="shared" si="30"/>
        <v>7</v>
      </c>
      <c r="BJ35" t="s">
        <v>1378</v>
      </c>
      <c r="BK35" t="s">
        <v>134</v>
      </c>
      <c r="CG35" s="1"/>
      <c r="CH35" s="1"/>
      <c r="CJ35" s="132"/>
    </row>
    <row r="36" spans="1:88" x14ac:dyDescent="0.25">
      <c r="A36" t="s">
        <v>728</v>
      </c>
      <c r="B36" s="1">
        <v>45901</v>
      </c>
      <c r="C36" s="1">
        <v>45926</v>
      </c>
      <c r="D36">
        <f t="shared" si="0"/>
        <v>25</v>
      </c>
      <c r="E36" s="132">
        <f t="shared" si="1"/>
        <v>3.5714285714285716</v>
      </c>
      <c r="G36" t="s">
        <v>749</v>
      </c>
      <c r="I36" t="s">
        <v>758</v>
      </c>
      <c r="J36" s="1">
        <v>45922</v>
      </c>
      <c r="K36" s="1">
        <v>45963</v>
      </c>
      <c r="L36">
        <f t="shared" si="17"/>
        <v>41</v>
      </c>
      <c r="M36" s="132">
        <f t="shared" si="18"/>
        <v>5.8571428571428568</v>
      </c>
      <c r="O36" t="s">
        <v>840</v>
      </c>
      <c r="Q36" t="s">
        <v>704</v>
      </c>
      <c r="R36" s="1">
        <v>45924</v>
      </c>
      <c r="S36" s="1">
        <v>45984</v>
      </c>
      <c r="T36">
        <f t="shared" si="35"/>
        <v>60</v>
      </c>
      <c r="U36" s="132">
        <f t="shared" si="29"/>
        <v>8.5714285714285712</v>
      </c>
      <c r="V36" t="s">
        <v>1022</v>
      </c>
      <c r="X36" t="s">
        <v>704</v>
      </c>
      <c r="Y36" s="1">
        <v>45938</v>
      </c>
      <c r="Z36" s="1">
        <v>45992</v>
      </c>
      <c r="AA36">
        <f t="shared" si="36"/>
        <v>54</v>
      </c>
      <c r="AB36" s="132">
        <f t="shared" si="37"/>
        <v>7.7142857142857144</v>
      </c>
      <c r="AC36" t="s">
        <v>1079</v>
      </c>
      <c r="AV36" t="s">
        <v>527</v>
      </c>
      <c r="AZ36" s="132">
        <f>SUM(AZ2:AZ35)</f>
        <v>139.57142857142858</v>
      </c>
      <c r="BE36" t="s">
        <v>415</v>
      </c>
      <c r="BF36" s="1">
        <v>46095</v>
      </c>
      <c r="BG36" s="1">
        <v>46123</v>
      </c>
      <c r="BH36">
        <f t="shared" si="27"/>
        <v>28</v>
      </c>
      <c r="BI36" s="132">
        <f t="shared" si="30"/>
        <v>4</v>
      </c>
      <c r="BJ36" t="s">
        <v>1380</v>
      </c>
      <c r="BK36" t="s">
        <v>1381</v>
      </c>
      <c r="CG36" s="1"/>
      <c r="CH36" s="1"/>
      <c r="CJ36" s="132"/>
    </row>
    <row r="37" spans="1:88" x14ac:dyDescent="0.25">
      <c r="A37" t="s">
        <v>728</v>
      </c>
      <c r="B37" s="1">
        <v>45866</v>
      </c>
      <c r="C37" s="1">
        <v>45893</v>
      </c>
      <c r="D37">
        <f t="shared" si="0"/>
        <v>27</v>
      </c>
      <c r="E37" s="132">
        <f t="shared" si="1"/>
        <v>3.8571428571428572</v>
      </c>
      <c r="G37" t="s">
        <v>409</v>
      </c>
      <c r="I37" t="s">
        <v>728</v>
      </c>
      <c r="J37" s="1">
        <v>45897</v>
      </c>
      <c r="K37" s="1">
        <v>45938</v>
      </c>
      <c r="L37">
        <f t="shared" si="17"/>
        <v>41</v>
      </c>
      <c r="M37" s="132">
        <f t="shared" si="18"/>
        <v>5.8571428571428568</v>
      </c>
      <c r="O37" t="s">
        <v>757</v>
      </c>
      <c r="Q37" t="s">
        <v>704</v>
      </c>
      <c r="R37" s="1">
        <v>45940</v>
      </c>
      <c r="S37" s="1">
        <v>45981</v>
      </c>
      <c r="T37">
        <f t="shared" si="35"/>
        <v>41</v>
      </c>
      <c r="U37" s="132">
        <f t="shared" si="29"/>
        <v>5.8571428571428568</v>
      </c>
      <c r="V37" t="s">
        <v>1017</v>
      </c>
      <c r="X37" t="s">
        <v>704</v>
      </c>
      <c r="Y37" s="1">
        <v>45971</v>
      </c>
      <c r="Z37" s="1">
        <v>46026</v>
      </c>
      <c r="AA37">
        <f t="shared" si="36"/>
        <v>55</v>
      </c>
      <c r="AB37" s="132">
        <f t="shared" si="37"/>
        <v>7.8571428571428568</v>
      </c>
      <c r="AC37" t="s">
        <v>1130</v>
      </c>
      <c r="BE37" t="s">
        <v>415</v>
      </c>
      <c r="BF37" s="1">
        <v>46076</v>
      </c>
      <c r="BG37" s="1">
        <v>46124</v>
      </c>
      <c r="BH37">
        <f t="shared" si="27"/>
        <v>48</v>
      </c>
      <c r="BI37" s="132">
        <f t="shared" si="30"/>
        <v>6.8571428571428568</v>
      </c>
      <c r="BJ37" t="s">
        <v>1235</v>
      </c>
      <c r="BK37" t="s">
        <v>175</v>
      </c>
      <c r="CG37" s="1"/>
      <c r="CH37" s="1"/>
      <c r="CJ37" s="132"/>
    </row>
    <row r="38" spans="1:88" x14ac:dyDescent="0.25">
      <c r="A38" t="s">
        <v>728</v>
      </c>
      <c r="B38" s="1">
        <v>45886</v>
      </c>
      <c r="C38" s="1">
        <v>45969</v>
      </c>
      <c r="D38">
        <f t="shared" si="0"/>
        <v>83</v>
      </c>
      <c r="E38" s="132">
        <f t="shared" si="1"/>
        <v>11.857142857142858</v>
      </c>
      <c r="G38" t="s">
        <v>709</v>
      </c>
      <c r="I38" t="s">
        <v>728</v>
      </c>
      <c r="J38" s="1">
        <v>45881</v>
      </c>
      <c r="K38" s="1">
        <v>45923</v>
      </c>
      <c r="L38">
        <f t="shared" si="17"/>
        <v>42</v>
      </c>
      <c r="M38" s="132">
        <f t="shared" si="18"/>
        <v>6</v>
      </c>
      <c r="O38" t="s">
        <v>763</v>
      </c>
      <c r="Q38" t="s">
        <v>704</v>
      </c>
      <c r="R38" s="1">
        <v>45934</v>
      </c>
      <c r="S38" s="1">
        <v>45998</v>
      </c>
      <c r="T38">
        <f t="shared" si="35"/>
        <v>64</v>
      </c>
      <c r="U38" s="132">
        <f t="shared" si="29"/>
        <v>9.1428571428571423</v>
      </c>
      <c r="V38" t="s">
        <v>1071</v>
      </c>
      <c r="X38" t="s">
        <v>704</v>
      </c>
      <c r="Y38" s="1">
        <v>45971</v>
      </c>
      <c r="Z38" s="1">
        <v>45991</v>
      </c>
      <c r="AA38">
        <f t="shared" si="36"/>
        <v>20</v>
      </c>
      <c r="AB38" s="132">
        <f t="shared" si="37"/>
        <v>2.8571428571428572</v>
      </c>
      <c r="AC38" t="s">
        <v>1142</v>
      </c>
      <c r="BE38" t="s">
        <v>415</v>
      </c>
      <c r="BF38" s="1">
        <v>46097</v>
      </c>
      <c r="BG38" s="1">
        <v>46160</v>
      </c>
      <c r="BH38">
        <f t="shared" si="27"/>
        <v>63</v>
      </c>
      <c r="BI38" s="132">
        <f t="shared" si="30"/>
        <v>9</v>
      </c>
      <c r="BJ38" t="s">
        <v>1124</v>
      </c>
      <c r="BK38" t="s">
        <v>167</v>
      </c>
      <c r="CA38" s="132"/>
      <c r="CG38" s="1"/>
      <c r="CH38" s="1"/>
      <c r="CJ38" s="132"/>
    </row>
    <row r="39" spans="1:88" x14ac:dyDescent="0.25">
      <c r="A39" t="s">
        <v>728</v>
      </c>
      <c r="B39" s="1">
        <v>45859</v>
      </c>
      <c r="C39" s="1">
        <v>45895</v>
      </c>
      <c r="D39">
        <f t="shared" si="0"/>
        <v>36</v>
      </c>
      <c r="E39" s="132">
        <f t="shared" si="1"/>
        <v>5.1428571428571432</v>
      </c>
      <c r="G39" t="s">
        <v>729</v>
      </c>
      <c r="I39" t="s">
        <v>728</v>
      </c>
      <c r="J39" s="1">
        <v>45908</v>
      </c>
      <c r="K39" s="1">
        <v>45934</v>
      </c>
      <c r="L39">
        <f t="shared" si="17"/>
        <v>26</v>
      </c>
      <c r="M39" s="132">
        <f t="shared" si="18"/>
        <v>3.7142857142857144</v>
      </c>
      <c r="O39" t="s">
        <v>70</v>
      </c>
      <c r="Q39" t="s">
        <v>704</v>
      </c>
      <c r="R39" s="1">
        <v>45903</v>
      </c>
      <c r="S39" s="1">
        <v>45928</v>
      </c>
      <c r="T39">
        <f t="shared" si="35"/>
        <v>25</v>
      </c>
      <c r="U39" s="132">
        <f t="shared" si="29"/>
        <v>3.5714285714285716</v>
      </c>
      <c r="V39" t="s">
        <v>848</v>
      </c>
      <c r="X39" t="s">
        <v>728</v>
      </c>
      <c r="Y39" s="1">
        <v>45945</v>
      </c>
      <c r="Z39" s="1">
        <v>45961</v>
      </c>
      <c r="AA39">
        <v>34</v>
      </c>
      <c r="AB39" s="132">
        <f t="shared" si="37"/>
        <v>4.8571428571428568</v>
      </c>
      <c r="AC39" t="s">
        <v>1082</v>
      </c>
      <c r="BE39" t="s">
        <v>1292</v>
      </c>
      <c r="BF39" s="1">
        <v>46098</v>
      </c>
      <c r="BG39" s="1">
        <v>46152</v>
      </c>
      <c r="BH39">
        <f t="shared" si="27"/>
        <v>54</v>
      </c>
      <c r="BI39" s="132">
        <f t="shared" si="30"/>
        <v>7.7142857142857144</v>
      </c>
      <c r="BJ39" t="s">
        <v>785</v>
      </c>
      <c r="BK39" t="s">
        <v>1297</v>
      </c>
      <c r="CG39" s="1"/>
      <c r="CH39" s="1"/>
      <c r="CJ39" s="132"/>
    </row>
    <row r="40" spans="1:88" x14ac:dyDescent="0.25">
      <c r="I40" t="s">
        <v>704</v>
      </c>
      <c r="J40" s="1">
        <v>45882</v>
      </c>
      <c r="K40" s="1">
        <v>45966</v>
      </c>
      <c r="L40">
        <f t="shared" si="17"/>
        <v>84</v>
      </c>
      <c r="M40" s="132">
        <f t="shared" si="18"/>
        <v>12</v>
      </c>
      <c r="O40" t="s">
        <v>515</v>
      </c>
      <c r="Q40" s="152" t="s">
        <v>704</v>
      </c>
      <c r="R40" s="153">
        <v>45915</v>
      </c>
      <c r="S40" s="153">
        <v>45956</v>
      </c>
      <c r="T40" s="152"/>
      <c r="U40" s="154"/>
      <c r="V40" s="152" t="s">
        <v>887</v>
      </c>
      <c r="X40" s="214" t="s">
        <v>728</v>
      </c>
      <c r="Y40" s="215">
        <v>45978</v>
      </c>
      <c r="Z40" s="215">
        <v>45996</v>
      </c>
      <c r="AB40" s="132"/>
      <c r="AC40" t="s">
        <v>1082</v>
      </c>
      <c r="AE40" s="81"/>
      <c r="BE40" t="s">
        <v>1292</v>
      </c>
      <c r="BF40" s="1">
        <v>46097</v>
      </c>
      <c r="BG40" s="1">
        <v>46173</v>
      </c>
      <c r="BH40">
        <f t="shared" si="27"/>
        <v>76</v>
      </c>
      <c r="BI40" s="132">
        <f t="shared" si="30"/>
        <v>10.857142857142858</v>
      </c>
      <c r="BJ40" t="s">
        <v>1374</v>
      </c>
      <c r="BK40" t="s">
        <v>795</v>
      </c>
      <c r="CG40" s="1"/>
      <c r="CH40" s="1"/>
      <c r="CJ40" s="132"/>
    </row>
    <row r="41" spans="1:88" x14ac:dyDescent="0.25">
      <c r="D41" t="s">
        <v>1109</v>
      </c>
      <c r="E41" s="132">
        <f>SUM(E2:E40)</f>
        <v>225.57142857142864</v>
      </c>
      <c r="I41" t="s">
        <v>704</v>
      </c>
      <c r="J41" s="1">
        <v>45887</v>
      </c>
      <c r="K41" s="1">
        <v>45914</v>
      </c>
      <c r="L41">
        <f t="shared" si="17"/>
        <v>27</v>
      </c>
      <c r="M41" s="132">
        <f t="shared" si="18"/>
        <v>3.8571428571428572</v>
      </c>
      <c r="O41" t="s">
        <v>734</v>
      </c>
      <c r="Q41" s="152" t="s">
        <v>728</v>
      </c>
      <c r="R41" s="153">
        <v>45957</v>
      </c>
      <c r="S41" s="153">
        <v>46033</v>
      </c>
      <c r="T41" s="152"/>
      <c r="U41" s="154"/>
      <c r="V41" s="152" t="s">
        <v>1058</v>
      </c>
      <c r="X41" t="s">
        <v>728</v>
      </c>
      <c r="Y41" s="1">
        <v>45999</v>
      </c>
      <c r="Z41" s="1">
        <v>46053</v>
      </c>
      <c r="AA41">
        <v>34</v>
      </c>
      <c r="AB41" s="132">
        <f t="shared" si="37"/>
        <v>4.8571428571428568</v>
      </c>
      <c r="AC41" t="s">
        <v>1129</v>
      </c>
      <c r="BE41" t="s">
        <v>1292</v>
      </c>
      <c r="BF41" s="1">
        <v>46062</v>
      </c>
      <c r="BG41" s="1">
        <v>46089</v>
      </c>
      <c r="BH41">
        <f t="shared" si="27"/>
        <v>27</v>
      </c>
      <c r="BI41" s="132">
        <f t="shared" si="30"/>
        <v>3.8571428571428572</v>
      </c>
      <c r="BJ41" t="s">
        <v>1349</v>
      </c>
      <c r="BK41" t="s">
        <v>131</v>
      </c>
      <c r="CG41" s="1"/>
      <c r="CH41" s="1"/>
      <c r="CJ41" s="132"/>
    </row>
    <row r="42" spans="1:88" x14ac:dyDescent="0.25">
      <c r="D42" t="s">
        <v>931</v>
      </c>
      <c r="E42" s="132">
        <f>SUM(E41/7)</f>
        <v>32.22448979591838</v>
      </c>
      <c r="I42" t="s">
        <v>704</v>
      </c>
      <c r="J42" s="1">
        <v>45901</v>
      </c>
      <c r="K42" s="1">
        <v>45956</v>
      </c>
      <c r="L42">
        <f t="shared" si="17"/>
        <v>55</v>
      </c>
      <c r="M42" s="132">
        <f t="shared" si="18"/>
        <v>7.8571428571428568</v>
      </c>
      <c r="O42" t="s">
        <v>789</v>
      </c>
      <c r="Q42" t="s">
        <v>728</v>
      </c>
      <c r="R42" s="1">
        <v>45923</v>
      </c>
      <c r="S42" s="1">
        <v>45949</v>
      </c>
      <c r="T42">
        <f t="shared" ref="T42" si="38">_xlfn.DAYS(S42,R42)</f>
        <v>26</v>
      </c>
      <c r="U42" s="132">
        <f t="shared" si="29"/>
        <v>3.7142857142857144</v>
      </c>
      <c r="V42" t="s">
        <v>988</v>
      </c>
      <c r="AB42" s="132"/>
      <c r="BI42" s="132">
        <f>SUM(BI2:BI41)</f>
        <v>264.14285714285717</v>
      </c>
      <c r="CG42" s="1"/>
      <c r="CH42" s="1"/>
      <c r="CJ42" s="132"/>
    </row>
    <row r="43" spans="1:88" x14ac:dyDescent="0.25">
      <c r="I43" t="s">
        <v>704</v>
      </c>
      <c r="J43" s="1">
        <v>45909</v>
      </c>
      <c r="K43" s="1">
        <v>45937</v>
      </c>
      <c r="L43">
        <f t="shared" si="17"/>
        <v>28</v>
      </c>
      <c r="M43" s="132">
        <f t="shared" si="18"/>
        <v>4</v>
      </c>
      <c r="O43" t="s">
        <v>793</v>
      </c>
      <c r="Q43" t="s">
        <v>1</v>
      </c>
      <c r="U43" s="132">
        <f>SUM(U2:U42)</f>
        <v>221.00000000000009</v>
      </c>
      <c r="AB43" s="132"/>
      <c r="CG43" s="1"/>
      <c r="CH43" s="1"/>
      <c r="CJ43" s="132"/>
    </row>
    <row r="44" spans="1:88" x14ac:dyDescent="0.25">
      <c r="L44" t="s">
        <v>1109</v>
      </c>
      <c r="M44" s="132">
        <f>SUM(M2:M43)</f>
        <v>256.28571428571433</v>
      </c>
      <c r="U44">
        <f>SUM(U43/7)</f>
        <v>31.571428571428584</v>
      </c>
      <c r="AB44" s="132"/>
      <c r="AQ44">
        <f>SUM(AQ2:AQ43)</f>
        <v>1261</v>
      </c>
      <c r="AR44" s="132">
        <f>SUM(AR2:AR43)</f>
        <v>360.28571428571428</v>
      </c>
      <c r="CG44" s="1"/>
      <c r="CH44" s="1"/>
      <c r="CJ44" s="132"/>
    </row>
    <row r="45" spans="1:88" x14ac:dyDescent="0.25">
      <c r="L45" t="s">
        <v>931</v>
      </c>
      <c r="M45" s="132">
        <f>SUM(M44/7)</f>
        <v>36.612244897959194</v>
      </c>
      <c r="X45" t="s">
        <v>15</v>
      </c>
      <c r="AB45" s="132">
        <f>SUM(AB2:AB44)</f>
        <v>216.14285714285722</v>
      </c>
      <c r="CJ45" s="132">
        <f>SUM(CJ2:CJ44)</f>
        <v>112.57142857142857</v>
      </c>
    </row>
    <row r="46" spans="1:88" ht="15.75" thickBot="1" x14ac:dyDescent="0.3">
      <c r="AB46" s="132">
        <f>SUM(AB45/7)</f>
        <v>30.877551020408173</v>
      </c>
    </row>
    <row r="47" spans="1:88" x14ac:dyDescent="0.25">
      <c r="AD47" s="81"/>
      <c r="AE47" s="218" t="s">
        <v>1014</v>
      </c>
    </row>
    <row r="48" spans="1:88" ht="30" x14ac:dyDescent="0.25">
      <c r="X48" s="156" t="s">
        <v>794</v>
      </c>
      <c r="Y48" s="157" t="s">
        <v>589</v>
      </c>
      <c r="Z48" s="157" t="s">
        <v>424</v>
      </c>
      <c r="AA48" s="157" t="s">
        <v>471</v>
      </c>
      <c r="AD48" s="81"/>
      <c r="AE48" s="220" t="s">
        <v>997</v>
      </c>
    </row>
    <row r="49" spans="13:31" x14ac:dyDescent="0.25">
      <c r="X49" s="204" t="s">
        <v>131</v>
      </c>
      <c r="Y49" s="205">
        <v>16</v>
      </c>
      <c r="Z49" s="205">
        <v>8</v>
      </c>
      <c r="AA49" s="205">
        <v>8</v>
      </c>
      <c r="AD49" s="81"/>
      <c r="AE49" s="175" t="s">
        <v>423</v>
      </c>
    </row>
    <row r="50" spans="13:31" x14ac:dyDescent="0.25">
      <c r="X50" s="204" t="s">
        <v>148</v>
      </c>
      <c r="Y50" s="205">
        <v>10</v>
      </c>
      <c r="Z50" s="205">
        <v>2</v>
      </c>
      <c r="AA50" s="205">
        <v>5</v>
      </c>
      <c r="AD50" s="81"/>
      <c r="AE50" s="175" t="s">
        <v>424</v>
      </c>
    </row>
    <row r="51" spans="13:31" x14ac:dyDescent="0.25">
      <c r="X51" s="204" t="s">
        <v>171</v>
      </c>
      <c r="Y51" s="205">
        <v>12</v>
      </c>
      <c r="Z51" s="205">
        <v>15</v>
      </c>
      <c r="AA51" s="205">
        <v>11</v>
      </c>
      <c r="AD51" s="81"/>
      <c r="AE51" s="175" t="s">
        <v>471</v>
      </c>
    </row>
    <row r="52" spans="13:31" x14ac:dyDescent="0.25">
      <c r="M52" s="132"/>
      <c r="X52" s="204" t="s">
        <v>778</v>
      </c>
      <c r="Y52" s="205">
        <v>0</v>
      </c>
      <c r="Z52" s="205">
        <v>1</v>
      </c>
      <c r="AA52" s="205"/>
      <c r="AD52" s="81"/>
      <c r="AE52" s="177" t="s">
        <v>1</v>
      </c>
    </row>
    <row r="53" spans="13:31" ht="15.75" thickBot="1" x14ac:dyDescent="0.3">
      <c r="X53" s="204" t="s">
        <v>795</v>
      </c>
      <c r="Y53" s="205">
        <v>4</v>
      </c>
      <c r="Z53" s="205">
        <v>3</v>
      </c>
      <c r="AA53" s="205">
        <v>3</v>
      </c>
      <c r="AD53" s="81"/>
      <c r="AE53" s="179" t="s">
        <v>1007</v>
      </c>
    </row>
    <row r="54" spans="13:31" x14ac:dyDescent="0.25">
      <c r="X54" s="204" t="s">
        <v>250</v>
      </c>
      <c r="Y54" s="205">
        <v>13</v>
      </c>
      <c r="Z54" s="205">
        <v>8</v>
      </c>
      <c r="AA54" s="205">
        <v>6</v>
      </c>
      <c r="AD54" s="81"/>
      <c r="AE54" s="81"/>
    </row>
    <row r="55" spans="13:31" ht="30.75" thickBot="1" x14ac:dyDescent="0.3">
      <c r="X55" s="204" t="s">
        <v>796</v>
      </c>
      <c r="Y55" s="205">
        <v>0</v>
      </c>
      <c r="Z55" s="205">
        <v>0</v>
      </c>
      <c r="AA55" s="205">
        <v>1</v>
      </c>
      <c r="AD55" s="81"/>
      <c r="AE55" s="81"/>
    </row>
    <row r="56" spans="13:31" x14ac:dyDescent="0.25">
      <c r="X56" s="204" t="s">
        <v>1093</v>
      </c>
      <c r="Y56" s="205">
        <v>0</v>
      </c>
      <c r="Z56" s="205">
        <v>0</v>
      </c>
      <c r="AA56" s="205">
        <v>1</v>
      </c>
      <c r="AD56" s="81"/>
      <c r="AE56" s="218" t="s">
        <v>1015</v>
      </c>
    </row>
    <row r="57" spans="13:31" x14ac:dyDescent="0.25">
      <c r="X57" s="204" t="s">
        <v>167</v>
      </c>
      <c r="Y57" s="205">
        <v>1</v>
      </c>
      <c r="Z57" s="205"/>
      <c r="AA57" s="205">
        <v>2</v>
      </c>
      <c r="AD57" s="81"/>
      <c r="AE57" s="220" t="s">
        <v>997</v>
      </c>
    </row>
    <row r="58" spans="13:31" x14ac:dyDescent="0.25">
      <c r="X58" s="204" t="s">
        <v>134</v>
      </c>
      <c r="Y58" s="205">
        <v>8</v>
      </c>
      <c r="Z58" s="205">
        <v>7</v>
      </c>
      <c r="AA58" s="205"/>
      <c r="AD58" s="81"/>
      <c r="AE58" s="175" t="s">
        <v>423</v>
      </c>
    </row>
    <row r="59" spans="13:31" x14ac:dyDescent="0.25">
      <c r="X59" s="204" t="s">
        <v>244</v>
      </c>
      <c r="Y59" s="205">
        <v>1</v>
      </c>
      <c r="Z59" s="205">
        <v>2</v>
      </c>
      <c r="AA59" s="205">
        <v>3</v>
      </c>
      <c r="AD59" s="81"/>
      <c r="AE59" s="175" t="s">
        <v>424</v>
      </c>
    </row>
    <row r="60" spans="13:31" x14ac:dyDescent="0.25">
      <c r="X60" s="204" t="s">
        <v>1092</v>
      </c>
      <c r="Y60" s="205">
        <v>3</v>
      </c>
      <c r="Z60" s="205">
        <v>4</v>
      </c>
      <c r="AA60" s="205">
        <v>4</v>
      </c>
      <c r="AD60" s="81"/>
      <c r="AE60" s="175" t="s">
        <v>588</v>
      </c>
    </row>
    <row r="61" spans="13:31" x14ac:dyDescent="0.25">
      <c r="X61" s="206" t="s">
        <v>39</v>
      </c>
      <c r="Y61" s="207">
        <f>SUM(Y49:Y60)</f>
        <v>68</v>
      </c>
      <c r="Z61" s="207">
        <f>SUM(Z49:Z60)</f>
        <v>50</v>
      </c>
      <c r="AA61" s="207">
        <f>SUM(AA49:AA60)</f>
        <v>44</v>
      </c>
      <c r="AD61" s="81"/>
      <c r="AE61" s="177" t="s">
        <v>15</v>
      </c>
    </row>
    <row r="62" spans="13:31" ht="15.75" thickBot="1" x14ac:dyDescent="0.3">
      <c r="AD62" s="81"/>
      <c r="AE62" s="179" t="s">
        <v>1007</v>
      </c>
    </row>
    <row r="63" spans="13:31" x14ac:dyDescent="0.25">
      <c r="AD63" s="81"/>
      <c r="AE63" s="81"/>
    </row>
    <row r="64" spans="13:31" ht="15.75" thickBot="1" x14ac:dyDescent="0.3">
      <c r="AD64" s="81"/>
      <c r="AE64" s="81"/>
    </row>
    <row r="65" spans="29:34" x14ac:dyDescent="0.25">
      <c r="AD65" s="81"/>
      <c r="AE65" s="218" t="s">
        <v>1016</v>
      </c>
      <c r="AF65" s="81"/>
      <c r="AG65" s="81"/>
    </row>
    <row r="66" spans="29:34" x14ac:dyDescent="0.25">
      <c r="AD66" s="81"/>
      <c r="AE66" s="220" t="s">
        <v>997</v>
      </c>
      <c r="AF66" s="81"/>
    </row>
    <row r="67" spans="29:34" x14ac:dyDescent="0.25">
      <c r="AD67" s="81"/>
      <c r="AE67" s="175" t="s">
        <v>423</v>
      </c>
      <c r="AF67" s="81"/>
      <c r="AH67" s="81"/>
    </row>
    <row r="68" spans="29:34" x14ac:dyDescent="0.25">
      <c r="AD68" s="81"/>
      <c r="AE68" s="175" t="s">
        <v>424</v>
      </c>
      <c r="AF68" s="81"/>
    </row>
    <row r="69" spans="29:34" x14ac:dyDescent="0.25">
      <c r="AD69" s="81"/>
      <c r="AE69" s="175" t="s">
        <v>588</v>
      </c>
      <c r="AF69" s="81"/>
    </row>
    <row r="70" spans="29:34" x14ac:dyDescent="0.25">
      <c r="AD70" s="81"/>
      <c r="AE70" s="177" t="s">
        <v>15</v>
      </c>
      <c r="AF70" s="81"/>
    </row>
    <row r="71" spans="29:34" ht="15.75" thickBot="1" x14ac:dyDescent="0.3">
      <c r="AD71" s="81"/>
      <c r="AE71" s="179" t="s">
        <v>1007</v>
      </c>
      <c r="AF71" s="81"/>
    </row>
    <row r="72" spans="29:34" x14ac:dyDescent="0.25">
      <c r="AF72" s="219"/>
    </row>
    <row r="73" spans="29:34" x14ac:dyDescent="0.25">
      <c r="AF73" s="221"/>
    </row>
    <row r="74" spans="29:34" x14ac:dyDescent="0.25">
      <c r="AC74" s="81"/>
      <c r="AF74" s="176">
        <v>6</v>
      </c>
    </row>
    <row r="75" spans="29:34" x14ac:dyDescent="0.25">
      <c r="AC75" s="81"/>
      <c r="AF75" s="176"/>
    </row>
    <row r="76" spans="29:34" x14ac:dyDescent="0.25">
      <c r="AC76" s="81"/>
      <c r="AF76" s="176"/>
    </row>
    <row r="77" spans="29:34" x14ac:dyDescent="0.25">
      <c r="AC77" s="81"/>
      <c r="AF77" s="178">
        <v>22</v>
      </c>
    </row>
    <row r="78" spans="29:34" ht="15.75" thickBot="1" x14ac:dyDescent="0.3">
      <c r="AC78" s="81"/>
      <c r="AF78" s="180">
        <v>2.75</v>
      </c>
    </row>
    <row r="79" spans="29:34" x14ac:dyDescent="0.25">
      <c r="AC79" s="81"/>
      <c r="AF79" s="81"/>
    </row>
    <row r="80" spans="29:34" ht="15.75" thickBot="1" x14ac:dyDescent="0.3">
      <c r="AC80" s="81"/>
      <c r="AF80" s="81"/>
    </row>
    <row r="81" spans="25:32" x14ac:dyDescent="0.25">
      <c r="Y81" s="245" t="s">
        <v>994</v>
      </c>
      <c r="Z81" s="246"/>
      <c r="AA81" s="81"/>
      <c r="AB81" s="247" t="s">
        <v>1008</v>
      </c>
      <c r="AC81" s="248"/>
      <c r="AF81" s="219"/>
    </row>
    <row r="82" spans="25:32" x14ac:dyDescent="0.25">
      <c r="Y82" s="249" t="s">
        <v>997</v>
      </c>
      <c r="Z82" s="250"/>
      <c r="AA82" s="81"/>
      <c r="AB82" s="251" t="s">
        <v>997</v>
      </c>
      <c r="AC82" s="252"/>
      <c r="AF82" s="221"/>
    </row>
    <row r="83" spans="25:32" x14ac:dyDescent="0.25">
      <c r="Y83" s="175" t="s">
        <v>423</v>
      </c>
      <c r="Z83" s="176">
        <v>6</v>
      </c>
      <c r="AA83" s="81"/>
      <c r="AB83" s="168" t="s">
        <v>423</v>
      </c>
      <c r="AC83" s="169">
        <v>5</v>
      </c>
      <c r="AF83" s="176">
        <v>3</v>
      </c>
    </row>
    <row r="84" spans="25:32" x14ac:dyDescent="0.25">
      <c r="Y84" s="175" t="s">
        <v>1024</v>
      </c>
      <c r="Z84" s="176"/>
      <c r="AA84" s="81"/>
      <c r="AB84" s="168" t="s">
        <v>1024</v>
      </c>
      <c r="AC84" s="169"/>
      <c r="AF84" s="176">
        <v>5</v>
      </c>
    </row>
    <row r="85" spans="25:32" x14ac:dyDescent="0.25">
      <c r="Y85" s="175" t="s">
        <v>471</v>
      </c>
      <c r="Z85" s="176"/>
      <c r="AA85" s="81"/>
      <c r="AB85" s="168" t="s">
        <v>471</v>
      </c>
      <c r="AC85" s="169"/>
      <c r="AF85" s="176">
        <v>2</v>
      </c>
    </row>
    <row r="86" spans="25:32" x14ac:dyDescent="0.25">
      <c r="Y86" s="177" t="s">
        <v>15</v>
      </c>
      <c r="Z86" s="178">
        <v>30</v>
      </c>
      <c r="AA86" s="81"/>
      <c r="AB86" s="170" t="s">
        <v>15</v>
      </c>
      <c r="AC86" s="171">
        <v>27</v>
      </c>
      <c r="AF86" s="178">
        <v>22</v>
      </c>
    </row>
    <row r="87" spans="25:32" ht="15.75" thickBot="1" x14ac:dyDescent="0.3">
      <c r="Y87" s="179" t="s">
        <v>1007</v>
      </c>
      <c r="Z87" s="180">
        <v>3.75</v>
      </c>
      <c r="AA87" s="81"/>
      <c r="AB87" s="172" t="s">
        <v>1007</v>
      </c>
      <c r="AC87" s="173">
        <v>3.5</v>
      </c>
      <c r="AF87" s="180">
        <v>3.15</v>
      </c>
    </row>
    <row r="88" spans="25:32" x14ac:dyDescent="0.25">
      <c r="Y88" s="81"/>
      <c r="Z88" s="81"/>
      <c r="AA88" s="81"/>
      <c r="AB88" s="81"/>
      <c r="AC88" s="81"/>
      <c r="AF88" s="81"/>
    </row>
    <row r="89" spans="25:32" ht="15.75" thickBot="1" x14ac:dyDescent="0.3">
      <c r="Y89" s="81"/>
      <c r="Z89" s="81"/>
      <c r="AA89" s="81"/>
      <c r="AB89" s="81"/>
      <c r="AC89" s="81"/>
      <c r="AF89" s="81"/>
    </row>
    <row r="90" spans="25:32" x14ac:dyDescent="0.25">
      <c r="Y90" s="247" t="s">
        <v>995</v>
      </c>
      <c r="Z90" s="248"/>
      <c r="AA90" s="81"/>
      <c r="AB90" s="255" t="s">
        <v>1009</v>
      </c>
      <c r="AC90" s="256"/>
      <c r="AF90" s="219"/>
    </row>
    <row r="91" spans="25:32" x14ac:dyDescent="0.25">
      <c r="Y91" s="251" t="s">
        <v>997</v>
      </c>
      <c r="Z91" s="252"/>
      <c r="AA91" s="81"/>
      <c r="AB91" s="253" t="s">
        <v>997</v>
      </c>
      <c r="AC91" s="254"/>
      <c r="AF91" s="221"/>
    </row>
    <row r="92" spans="25:32" x14ac:dyDescent="0.25">
      <c r="Y92" s="168" t="s">
        <v>423</v>
      </c>
      <c r="Z92" s="169">
        <v>3</v>
      </c>
      <c r="AA92" s="81"/>
      <c r="AB92" s="175" t="s">
        <v>423</v>
      </c>
      <c r="AC92" s="176">
        <v>4</v>
      </c>
      <c r="AF92" s="181">
        <v>8</v>
      </c>
    </row>
    <row r="93" spans="25:32" x14ac:dyDescent="0.25">
      <c r="Y93" s="168" t="s">
        <v>424</v>
      </c>
      <c r="Z93" s="169">
        <v>3</v>
      </c>
      <c r="AA93" s="81"/>
      <c r="AB93" s="175" t="s">
        <v>424</v>
      </c>
      <c r="AC93" s="176">
        <v>3</v>
      </c>
      <c r="AF93" s="181">
        <v>4</v>
      </c>
    </row>
    <row r="94" spans="25:32" x14ac:dyDescent="0.25">
      <c r="Y94" s="168" t="s">
        <v>471</v>
      </c>
      <c r="Z94" s="169"/>
      <c r="AA94" s="81"/>
      <c r="AB94" s="175" t="s">
        <v>588</v>
      </c>
      <c r="AC94" s="176">
        <v>1</v>
      </c>
      <c r="AF94" s="181">
        <v>5</v>
      </c>
    </row>
    <row r="95" spans="25:32" x14ac:dyDescent="0.25">
      <c r="Y95" s="170" t="s">
        <v>15</v>
      </c>
      <c r="Z95" s="171">
        <v>24</v>
      </c>
      <c r="AA95" s="81"/>
      <c r="AB95" s="177" t="s">
        <v>15</v>
      </c>
      <c r="AC95" s="178">
        <v>20</v>
      </c>
      <c r="AF95" s="182">
        <v>35</v>
      </c>
    </row>
    <row r="96" spans="25:32" ht="15.75" thickBot="1" x14ac:dyDescent="0.3">
      <c r="Y96" s="172" t="s">
        <v>1007</v>
      </c>
      <c r="Z96" s="173">
        <v>3</v>
      </c>
      <c r="AA96" s="81"/>
      <c r="AB96" s="179" t="s">
        <v>1007</v>
      </c>
      <c r="AC96" s="180">
        <v>3</v>
      </c>
      <c r="AF96" s="183">
        <v>5.5</v>
      </c>
    </row>
    <row r="97" spans="25:29" x14ac:dyDescent="0.25">
      <c r="Y97" s="81"/>
      <c r="Z97" s="81"/>
      <c r="AA97" s="81"/>
      <c r="AB97" s="81"/>
      <c r="AC97" s="81"/>
    </row>
    <row r="98" spans="25:29" ht="15.75" thickBot="1" x14ac:dyDescent="0.3">
      <c r="Y98" s="81"/>
      <c r="Z98" s="81"/>
      <c r="AA98" s="81"/>
      <c r="AB98" s="81"/>
      <c r="AC98" s="81"/>
    </row>
    <row r="99" spans="25:29" x14ac:dyDescent="0.25">
      <c r="Y99" s="247" t="s">
        <v>996</v>
      </c>
      <c r="Z99" s="248"/>
      <c r="AA99" s="81"/>
      <c r="AB99" s="247" t="s">
        <v>1010</v>
      </c>
      <c r="AC99" s="248"/>
    </row>
    <row r="100" spans="25:29" x14ac:dyDescent="0.25">
      <c r="Y100" s="251" t="s">
        <v>997</v>
      </c>
      <c r="Z100" s="252"/>
      <c r="AA100" s="81"/>
      <c r="AB100" s="251" t="s">
        <v>997</v>
      </c>
      <c r="AC100" s="252"/>
    </row>
    <row r="101" spans="25:29" x14ac:dyDescent="0.25">
      <c r="Y101" s="168" t="s">
        <v>423</v>
      </c>
      <c r="Z101" s="169">
        <v>6</v>
      </c>
      <c r="AA101" s="81"/>
      <c r="AB101" s="168" t="s">
        <v>423</v>
      </c>
      <c r="AC101" s="169">
        <v>5</v>
      </c>
    </row>
    <row r="102" spans="25:29" x14ac:dyDescent="0.25">
      <c r="Y102" s="168" t="s">
        <v>424</v>
      </c>
      <c r="Z102" s="169">
        <v>3</v>
      </c>
      <c r="AA102" s="81"/>
      <c r="AB102" s="168" t="s">
        <v>424</v>
      </c>
      <c r="AC102" s="169">
        <v>7</v>
      </c>
    </row>
    <row r="103" spans="25:29" x14ac:dyDescent="0.25">
      <c r="Y103" s="168" t="s">
        <v>588</v>
      </c>
      <c r="Z103" s="169">
        <v>2</v>
      </c>
      <c r="AA103" s="81"/>
      <c r="AB103" s="168" t="s">
        <v>588</v>
      </c>
      <c r="AC103" s="169">
        <v>4</v>
      </c>
    </row>
    <row r="104" spans="25:29" x14ac:dyDescent="0.25">
      <c r="Y104" s="170" t="s">
        <v>15</v>
      </c>
      <c r="Z104" s="171">
        <v>29</v>
      </c>
      <c r="AA104" s="81"/>
      <c r="AB104" s="170" t="s">
        <v>15</v>
      </c>
      <c r="AC104" s="171">
        <v>38</v>
      </c>
    </row>
    <row r="105" spans="25:29" ht="15.75" thickBot="1" x14ac:dyDescent="0.3">
      <c r="Y105" s="172" t="s">
        <v>1006</v>
      </c>
      <c r="Z105" s="173">
        <v>4.1500000000000004</v>
      </c>
      <c r="AA105" s="81"/>
      <c r="AB105" s="172" t="s">
        <v>1007</v>
      </c>
      <c r="AC105" s="173">
        <v>5.5</v>
      </c>
    </row>
  </sheetData>
  <sortState xmlns:xlrd2="http://schemas.microsoft.com/office/spreadsheetml/2017/richdata2" ref="A2:G30">
    <sortCondition ref="A2:A30"/>
  </sortState>
  <mergeCells count="12">
    <mergeCell ref="Y100:Z100"/>
    <mergeCell ref="AB100:AC100"/>
    <mergeCell ref="Y91:Z91"/>
    <mergeCell ref="AB91:AC91"/>
    <mergeCell ref="Y90:Z90"/>
    <mergeCell ref="AB90:AC90"/>
    <mergeCell ref="Y81:Z81"/>
    <mergeCell ref="AB81:AC81"/>
    <mergeCell ref="Y99:Z99"/>
    <mergeCell ref="AB99:AC99"/>
    <mergeCell ref="Y82:Z82"/>
    <mergeCell ref="AB82:AC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429D6-A6B4-4FCC-9741-DC7D22037378}">
  <dimension ref="A1:G26"/>
  <sheetViews>
    <sheetView workbookViewId="0">
      <selection activeCell="C5" sqref="C5"/>
    </sheetView>
  </sheetViews>
  <sheetFormatPr defaultRowHeight="15" x14ac:dyDescent="0.25"/>
  <cols>
    <col min="1" max="1" width="18.28515625" bestFit="1" customWidth="1"/>
    <col min="2" max="2" width="14.7109375" bestFit="1" customWidth="1"/>
    <col min="3" max="3" width="48.85546875" style="6" bestFit="1" customWidth="1"/>
    <col min="4" max="4" width="25.28515625" style="6" customWidth="1"/>
    <col min="5" max="5" width="29.85546875" style="8" customWidth="1"/>
    <col min="6" max="6" width="16" style="9" customWidth="1"/>
    <col min="7" max="7" width="12.140625" bestFit="1" customWidth="1"/>
  </cols>
  <sheetData>
    <row r="1" spans="1:7" x14ac:dyDescent="0.25">
      <c r="A1" s="233" t="s">
        <v>1288</v>
      </c>
      <c r="B1" s="233" t="s">
        <v>1293</v>
      </c>
      <c r="C1" s="233" t="s">
        <v>1289</v>
      </c>
      <c r="D1" s="233" t="s">
        <v>1290</v>
      </c>
      <c r="E1" s="234" t="s">
        <v>1291</v>
      </c>
      <c r="F1" s="8"/>
      <c r="G1" s="6"/>
    </row>
    <row r="2" spans="1:7" ht="135" x14ac:dyDescent="0.25">
      <c r="A2" s="98" t="s">
        <v>415</v>
      </c>
      <c r="B2" s="84">
        <v>46044</v>
      </c>
      <c r="C2" s="237" t="s">
        <v>1331</v>
      </c>
      <c r="D2" s="236" t="s">
        <v>1330</v>
      </c>
      <c r="E2" s="236" t="s">
        <v>1332</v>
      </c>
    </row>
    <row r="3" spans="1:7" x14ac:dyDescent="0.25">
      <c r="A3" s="98" t="s">
        <v>76</v>
      </c>
      <c r="B3" s="84">
        <v>46056</v>
      </c>
      <c r="C3" s="84"/>
      <c r="D3" s="84"/>
      <c r="E3" s="236"/>
    </row>
    <row r="4" spans="1:7" x14ac:dyDescent="0.25">
      <c r="A4" s="98" t="s">
        <v>74</v>
      </c>
      <c r="B4" s="84">
        <v>46056</v>
      </c>
      <c r="C4" s="84"/>
      <c r="D4" s="84"/>
      <c r="E4" s="236"/>
    </row>
    <row r="5" spans="1:7" x14ac:dyDescent="0.25">
      <c r="A5" s="98" t="s">
        <v>424</v>
      </c>
      <c r="B5" s="84">
        <v>46056</v>
      </c>
      <c r="C5" s="84"/>
      <c r="D5" s="84"/>
      <c r="E5" s="236" t="s">
        <v>1300</v>
      </c>
    </row>
    <row r="6" spans="1:7" x14ac:dyDescent="0.25">
      <c r="A6" s="98" t="s">
        <v>81</v>
      </c>
      <c r="B6" s="84">
        <v>46057</v>
      </c>
      <c r="C6" s="84"/>
      <c r="D6" s="2"/>
      <c r="E6" s="7"/>
    </row>
    <row r="7" spans="1:7" x14ac:dyDescent="0.25">
      <c r="A7" s="98" t="s">
        <v>71</v>
      </c>
      <c r="B7" s="84">
        <v>46057</v>
      </c>
      <c r="C7" s="84"/>
      <c r="D7" s="84"/>
      <c r="E7" s="236"/>
    </row>
    <row r="8" spans="1:7" x14ac:dyDescent="0.25">
      <c r="A8" s="98" t="s">
        <v>82</v>
      </c>
      <c r="B8" s="84">
        <v>46058</v>
      </c>
      <c r="C8" s="84"/>
      <c r="D8" s="84"/>
      <c r="E8" s="236"/>
    </row>
    <row r="9" spans="1:7" x14ac:dyDescent="0.25">
      <c r="A9" s="98" t="s">
        <v>75</v>
      </c>
      <c r="B9" s="84">
        <v>46058</v>
      </c>
      <c r="C9" s="84"/>
      <c r="D9" s="84"/>
      <c r="E9" s="236"/>
    </row>
    <row r="10" spans="1:7" x14ac:dyDescent="0.25">
      <c r="A10" s="98" t="s">
        <v>1030</v>
      </c>
      <c r="B10" s="84">
        <v>46064</v>
      </c>
      <c r="C10" s="84"/>
      <c r="D10" s="84"/>
      <c r="E10" s="236"/>
    </row>
    <row r="11" spans="1:7" x14ac:dyDescent="0.25">
      <c r="A11" s="98" t="s">
        <v>588</v>
      </c>
      <c r="B11" s="84">
        <v>46064</v>
      </c>
      <c r="C11" s="84"/>
      <c r="D11" s="84"/>
      <c r="E11" s="236"/>
    </row>
    <row r="12" spans="1:7" x14ac:dyDescent="0.25">
      <c r="A12" s="98" t="s">
        <v>72</v>
      </c>
      <c r="B12" s="84">
        <v>46065</v>
      </c>
      <c r="C12" s="84"/>
      <c r="D12" s="84"/>
      <c r="E12" s="236"/>
    </row>
    <row r="13" spans="1:7" x14ac:dyDescent="0.25">
      <c r="A13" s="98" t="s">
        <v>1292</v>
      </c>
      <c r="B13" s="84">
        <v>46065</v>
      </c>
      <c r="C13" s="84"/>
      <c r="D13" s="84"/>
      <c r="E13" s="236"/>
    </row>
    <row r="14" spans="1:7" x14ac:dyDescent="0.25">
      <c r="A14" s="98" t="s">
        <v>83</v>
      </c>
      <c r="B14" s="84">
        <v>46066</v>
      </c>
      <c r="C14" s="84"/>
      <c r="D14" s="2"/>
      <c r="E14" s="7"/>
    </row>
    <row r="15" spans="1:7" x14ac:dyDescent="0.25">
      <c r="A15" s="98" t="s">
        <v>73</v>
      </c>
      <c r="B15" s="2"/>
      <c r="C15" s="84"/>
      <c r="D15" s="84"/>
      <c r="E15" s="236"/>
    </row>
    <row r="16" spans="1:7" x14ac:dyDescent="0.25">
      <c r="A16" s="98" t="s">
        <v>70</v>
      </c>
      <c r="B16" s="84">
        <v>46069</v>
      </c>
      <c r="C16" s="84"/>
      <c r="D16" s="84"/>
      <c r="E16" s="236"/>
    </row>
    <row r="17" spans="3:5" x14ac:dyDescent="0.25">
      <c r="C17" s="13"/>
      <c r="D17" s="13"/>
      <c r="E17" s="235"/>
    </row>
    <row r="18" spans="3:5" x14ac:dyDescent="0.25">
      <c r="C18" s="13"/>
      <c r="D18" s="13"/>
      <c r="E18" s="235"/>
    </row>
    <row r="19" spans="3:5" x14ac:dyDescent="0.25">
      <c r="C19" s="13"/>
      <c r="D19" s="13"/>
      <c r="E19" s="235"/>
    </row>
    <row r="20" spans="3:5" x14ac:dyDescent="0.25">
      <c r="C20" s="13"/>
      <c r="D20" s="13"/>
      <c r="E20" s="235"/>
    </row>
    <row r="21" spans="3:5" x14ac:dyDescent="0.25">
      <c r="C21" s="13"/>
      <c r="D21" s="13"/>
      <c r="E21" s="235"/>
    </row>
    <row r="22" spans="3:5" x14ac:dyDescent="0.25">
      <c r="C22" s="13"/>
      <c r="D22" s="13"/>
      <c r="E22" s="235"/>
    </row>
    <row r="23" spans="3:5" x14ac:dyDescent="0.25">
      <c r="C23" s="13"/>
      <c r="D23" s="13"/>
      <c r="E23" s="235"/>
    </row>
    <row r="24" spans="3:5" x14ac:dyDescent="0.25">
      <c r="C24" s="13"/>
      <c r="D24" s="13"/>
      <c r="E24" s="235"/>
    </row>
    <row r="25" spans="3:5" x14ac:dyDescent="0.25">
      <c r="C25" s="13"/>
      <c r="D25" s="13"/>
      <c r="E25" s="235"/>
    </row>
    <row r="26" spans="3:5" x14ac:dyDescent="0.25">
      <c r="C26" s="13"/>
      <c r="D26" s="13"/>
      <c r="E26" s="235"/>
    </row>
  </sheetData>
  <autoFilter ref="A1:E1" xr:uid="{4AF429D6-A6B4-4FCC-9741-DC7D22037378}">
    <sortState xmlns:xlrd2="http://schemas.microsoft.com/office/spreadsheetml/2017/richdata2" ref="A2:E16">
      <sortCondition ref="B1"/>
    </sortState>
  </autoFilter>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F16E5-A618-4B96-B81B-E2222D023B35}">
  <dimension ref="A1:J92"/>
  <sheetViews>
    <sheetView workbookViewId="0">
      <selection activeCell="B77" sqref="B77"/>
    </sheetView>
  </sheetViews>
  <sheetFormatPr defaultRowHeight="15" x14ac:dyDescent="0.25"/>
  <cols>
    <col min="1" max="1" width="23.42578125" bestFit="1" customWidth="1"/>
    <col min="2" max="2" width="91.7109375" customWidth="1"/>
    <col min="3" max="3" width="21.7109375" bestFit="1" customWidth="1"/>
    <col min="4" max="5" width="22.7109375" bestFit="1" customWidth="1"/>
    <col min="6" max="6" width="6.42578125" customWidth="1"/>
    <col min="7" max="7" width="14.140625" bestFit="1" customWidth="1"/>
    <col min="8" max="8" width="11.5703125" bestFit="1" customWidth="1"/>
    <col min="9" max="9" width="34.85546875" bestFit="1" customWidth="1"/>
    <col min="10" max="10" width="28.140625" bestFit="1" customWidth="1"/>
    <col min="13" max="14" width="5.28515625" bestFit="1" customWidth="1"/>
    <col min="15" max="15" width="6.85546875" customWidth="1"/>
    <col min="20" max="20" width="7.7109375" customWidth="1"/>
    <col min="21" max="21" width="6.7109375" customWidth="1"/>
    <col min="24" max="24" width="11.28515625" customWidth="1"/>
    <col min="27" max="28" width="6.140625" bestFit="1" customWidth="1"/>
    <col min="29" max="29" width="11.5703125" customWidth="1"/>
    <col min="34" max="34" width="6.140625" customWidth="1"/>
    <col min="35" max="35" width="6.42578125" customWidth="1"/>
  </cols>
  <sheetData>
    <row r="1" spans="1:10" x14ac:dyDescent="0.25">
      <c r="A1" t="s">
        <v>64</v>
      </c>
      <c r="B1" t="s">
        <v>65</v>
      </c>
      <c r="C1" t="s">
        <v>66</v>
      </c>
      <c r="D1" t="s">
        <v>67</v>
      </c>
      <c r="E1" t="s">
        <v>68</v>
      </c>
      <c r="F1" t="s">
        <v>69</v>
      </c>
    </row>
    <row r="2" spans="1:10" hidden="1" x14ac:dyDescent="0.25">
      <c r="A2" s="11" t="s">
        <v>70</v>
      </c>
      <c r="B2" s="11" t="s">
        <v>70</v>
      </c>
      <c r="C2" s="11" t="s">
        <v>70</v>
      </c>
      <c r="D2" s="11" t="s">
        <v>70</v>
      </c>
      <c r="E2" s="11" t="s">
        <v>70</v>
      </c>
      <c r="F2" s="11" t="s">
        <v>70</v>
      </c>
      <c r="G2" s="18" t="s">
        <v>71</v>
      </c>
    </row>
    <row r="3" spans="1:10" hidden="1" x14ac:dyDescent="0.25">
      <c r="A3" s="11" t="s">
        <v>72</v>
      </c>
      <c r="B3" s="11" t="s">
        <v>72</v>
      </c>
      <c r="C3" s="11" t="s">
        <v>72</v>
      </c>
      <c r="D3" s="11" t="s">
        <v>72</v>
      </c>
      <c r="E3" s="11" t="s">
        <v>72</v>
      </c>
      <c r="F3" s="11" t="s">
        <v>72</v>
      </c>
      <c r="G3" s="18" t="s">
        <v>73</v>
      </c>
    </row>
    <row r="4" spans="1:10" hidden="1" x14ac:dyDescent="0.25">
      <c r="A4" s="11" t="s">
        <v>74</v>
      </c>
      <c r="B4" s="11" t="s">
        <v>74</v>
      </c>
      <c r="C4" s="11" t="s">
        <v>74</v>
      </c>
      <c r="D4" s="14" t="s">
        <v>74</v>
      </c>
      <c r="E4" s="11" t="s">
        <v>74</v>
      </c>
      <c r="F4" s="11" t="s">
        <v>74</v>
      </c>
      <c r="G4" s="18" t="s">
        <v>75</v>
      </c>
    </row>
    <row r="5" spans="1:10" hidden="1" x14ac:dyDescent="0.25">
      <c r="A5" s="11" t="s">
        <v>76</v>
      </c>
      <c r="B5" s="11" t="s">
        <v>76</v>
      </c>
      <c r="C5" s="11" t="s">
        <v>76</v>
      </c>
      <c r="D5" s="11" t="s">
        <v>76</v>
      </c>
      <c r="E5" s="11" t="s">
        <v>76</v>
      </c>
      <c r="F5" s="11" t="s">
        <v>76</v>
      </c>
      <c r="G5" s="16" t="s">
        <v>77</v>
      </c>
    </row>
    <row r="6" spans="1:10" hidden="1" x14ac:dyDescent="0.25">
      <c r="A6" s="11" t="s">
        <v>78</v>
      </c>
      <c r="B6" s="11" t="s">
        <v>78</v>
      </c>
      <c r="C6" s="11" t="s">
        <v>78</v>
      </c>
      <c r="D6" s="11" t="s">
        <v>78</v>
      </c>
      <c r="E6" s="11" t="s">
        <v>78</v>
      </c>
      <c r="F6" s="11" t="s">
        <v>78</v>
      </c>
      <c r="G6" s="16" t="s">
        <v>79</v>
      </c>
    </row>
    <row r="7" spans="1:10" hidden="1" x14ac:dyDescent="0.25">
      <c r="A7" s="11" t="s">
        <v>80</v>
      </c>
      <c r="B7" s="11" t="s">
        <v>80</v>
      </c>
      <c r="C7" s="11" t="s">
        <v>80</v>
      </c>
      <c r="D7" s="17" t="s">
        <v>80</v>
      </c>
      <c r="E7" s="11" t="s">
        <v>81</v>
      </c>
      <c r="F7" s="11" t="s">
        <v>81</v>
      </c>
      <c r="G7" s="16" t="s">
        <v>82</v>
      </c>
    </row>
    <row r="8" spans="1:10" hidden="1" x14ac:dyDescent="0.25">
      <c r="A8" s="11" t="s">
        <v>81</v>
      </c>
      <c r="B8" s="11" t="s">
        <v>81</v>
      </c>
      <c r="C8" s="11" t="s">
        <v>81</v>
      </c>
      <c r="D8" s="14" t="s">
        <v>81</v>
      </c>
      <c r="E8" s="11" t="s">
        <v>83</v>
      </c>
      <c r="F8" s="11" t="s">
        <v>83</v>
      </c>
      <c r="G8" s="16"/>
    </row>
    <row r="9" spans="1:10" hidden="1" x14ac:dyDescent="0.25">
      <c r="C9" s="11" t="s">
        <v>83</v>
      </c>
      <c r="D9" s="11" t="s">
        <v>83</v>
      </c>
      <c r="G9" s="16" t="s">
        <v>84</v>
      </c>
    </row>
    <row r="11" spans="1:10" ht="15.75" thickBot="1" x14ac:dyDescent="0.3">
      <c r="A11" t="s">
        <v>85</v>
      </c>
      <c r="B11" t="s">
        <v>86</v>
      </c>
      <c r="C11" t="s">
        <v>87</v>
      </c>
      <c r="D11" t="s">
        <v>88</v>
      </c>
      <c r="E11" t="s">
        <v>89</v>
      </c>
    </row>
    <row r="12" spans="1:10" ht="16.5" thickBot="1" x14ac:dyDescent="0.3">
      <c r="A12" s="11" t="s">
        <v>70</v>
      </c>
      <c r="B12" s="11" t="s">
        <v>70</v>
      </c>
      <c r="C12" s="11" t="s">
        <v>70</v>
      </c>
      <c r="D12" s="11" t="s">
        <v>70</v>
      </c>
      <c r="E12" s="11" t="s">
        <v>70</v>
      </c>
      <c r="G12" s="56" t="s">
        <v>90</v>
      </c>
      <c r="H12" s="57">
        <v>2023</v>
      </c>
      <c r="I12" s="82">
        <v>2024</v>
      </c>
      <c r="J12" s="57">
        <v>2025</v>
      </c>
    </row>
    <row r="13" spans="1:10" ht="16.5" thickBot="1" x14ac:dyDescent="0.3">
      <c r="A13" s="11" t="s">
        <v>72</v>
      </c>
      <c r="B13" s="11" t="s">
        <v>72</v>
      </c>
      <c r="C13" s="11" t="s">
        <v>72</v>
      </c>
      <c r="D13" s="11" t="s">
        <v>72</v>
      </c>
      <c r="E13" s="11" t="s">
        <v>72</v>
      </c>
      <c r="G13" s="58" t="s">
        <v>91</v>
      </c>
      <c r="H13" s="59"/>
      <c r="I13" s="61" t="s">
        <v>92</v>
      </c>
      <c r="J13" s="60" t="s">
        <v>93</v>
      </c>
    </row>
    <row r="14" spans="1:10" ht="16.5" thickBot="1" x14ac:dyDescent="0.3">
      <c r="A14" s="11" t="s">
        <v>74</v>
      </c>
      <c r="B14" s="11" t="s">
        <v>74</v>
      </c>
      <c r="C14" s="11" t="s">
        <v>74</v>
      </c>
      <c r="D14" s="11" t="s">
        <v>74</v>
      </c>
      <c r="E14" s="11" t="s">
        <v>74</v>
      </c>
      <c r="G14" s="58" t="s">
        <v>94</v>
      </c>
      <c r="H14" s="60"/>
      <c r="I14" s="61" t="s">
        <v>95</v>
      </c>
      <c r="J14" s="60"/>
    </row>
    <row r="15" spans="1:10" ht="16.5" thickBot="1" x14ac:dyDescent="0.3">
      <c r="A15" s="11" t="s">
        <v>76</v>
      </c>
      <c r="B15" s="11" t="s">
        <v>76</v>
      </c>
      <c r="C15" s="11" t="s">
        <v>76</v>
      </c>
      <c r="D15" s="11" t="s">
        <v>76</v>
      </c>
      <c r="E15" s="11" t="s">
        <v>76</v>
      </c>
      <c r="G15" s="58" t="s">
        <v>96</v>
      </c>
      <c r="H15" s="60" t="s">
        <v>72</v>
      </c>
      <c r="I15" s="61" t="s">
        <v>70</v>
      </c>
      <c r="J15" s="60"/>
    </row>
    <row r="16" spans="1:10" ht="16.5" thickBot="1" x14ac:dyDescent="0.3">
      <c r="A16" s="11" t="s">
        <v>78</v>
      </c>
      <c r="B16" s="11" t="s">
        <v>78</v>
      </c>
      <c r="C16" s="11" t="s">
        <v>78</v>
      </c>
      <c r="D16" s="11" t="s">
        <v>78</v>
      </c>
      <c r="E16" s="11" t="s">
        <v>78</v>
      </c>
      <c r="G16" s="58" t="s">
        <v>97</v>
      </c>
      <c r="H16" s="60"/>
      <c r="I16" s="61" t="s">
        <v>98</v>
      </c>
      <c r="J16" s="60" t="s">
        <v>444</v>
      </c>
    </row>
    <row r="17" spans="1:10" ht="48" thickBot="1" x14ac:dyDescent="0.3">
      <c r="A17" s="11" t="s">
        <v>81</v>
      </c>
      <c r="B17" s="11" t="s">
        <v>81</v>
      </c>
      <c r="C17" s="11" t="s">
        <v>81</v>
      </c>
      <c r="D17" s="11" t="s">
        <v>81</v>
      </c>
      <c r="E17" s="11" t="s">
        <v>81</v>
      </c>
      <c r="G17" s="58" t="s">
        <v>99</v>
      </c>
      <c r="H17" s="60" t="s">
        <v>100</v>
      </c>
      <c r="I17" s="61" t="s">
        <v>101</v>
      </c>
      <c r="J17" s="61" t="s">
        <v>470</v>
      </c>
    </row>
    <row r="18" spans="1:10" ht="16.5" thickBot="1" x14ac:dyDescent="0.3">
      <c r="A18" s="11" t="s">
        <v>83</v>
      </c>
      <c r="B18" s="11" t="s">
        <v>83</v>
      </c>
      <c r="C18" s="11" t="s">
        <v>83</v>
      </c>
      <c r="D18" s="11" t="s">
        <v>83</v>
      </c>
      <c r="E18" s="11" t="s">
        <v>83</v>
      </c>
      <c r="G18" s="58" t="s">
        <v>102</v>
      </c>
      <c r="H18" s="60" t="s">
        <v>103</v>
      </c>
      <c r="I18" s="61" t="s">
        <v>71</v>
      </c>
      <c r="J18" s="60"/>
    </row>
    <row r="19" spans="1:10" ht="32.25" thickBot="1" x14ac:dyDescent="0.3">
      <c r="G19" s="58" t="s">
        <v>104</v>
      </c>
      <c r="H19" s="60" t="s">
        <v>105</v>
      </c>
      <c r="I19" s="61" t="s">
        <v>106</v>
      </c>
      <c r="J19" s="60"/>
    </row>
    <row r="20" spans="1:10" ht="16.5" thickBot="1" x14ac:dyDescent="0.3">
      <c r="A20" t="s">
        <v>107</v>
      </c>
      <c r="B20" t="s">
        <v>108</v>
      </c>
      <c r="C20" t="s">
        <v>109</v>
      </c>
      <c r="D20" t="s">
        <v>110</v>
      </c>
      <c r="G20" s="58" t="s">
        <v>111</v>
      </c>
      <c r="H20" s="60" t="s">
        <v>72</v>
      </c>
      <c r="I20" s="61" t="s">
        <v>112</v>
      </c>
      <c r="J20" s="60" t="s">
        <v>446</v>
      </c>
    </row>
    <row r="21" spans="1:10" hidden="1" x14ac:dyDescent="0.25">
      <c r="A21" s="11" t="s">
        <v>70</v>
      </c>
      <c r="B21" s="11" t="s">
        <v>70</v>
      </c>
      <c r="C21" s="11" t="s">
        <v>70</v>
      </c>
      <c r="D21" s="11" t="s">
        <v>70</v>
      </c>
    </row>
    <row r="22" spans="1:10" hidden="1" x14ac:dyDescent="0.25">
      <c r="A22" s="11" t="s">
        <v>72</v>
      </c>
      <c r="B22" s="11" t="s">
        <v>72</v>
      </c>
      <c r="C22" s="11" t="s">
        <v>72</v>
      </c>
      <c r="D22" s="11" t="s">
        <v>72</v>
      </c>
    </row>
    <row r="23" spans="1:10" hidden="1" x14ac:dyDescent="0.25">
      <c r="A23" s="11" t="s">
        <v>74</v>
      </c>
      <c r="B23" s="11" t="s">
        <v>74</v>
      </c>
      <c r="C23" s="11" t="s">
        <v>74</v>
      </c>
      <c r="D23" s="11" t="s">
        <v>74</v>
      </c>
    </row>
    <row r="24" spans="1:10" hidden="1" x14ac:dyDescent="0.25">
      <c r="A24" s="11" t="s">
        <v>76</v>
      </c>
      <c r="B24" s="11" t="s">
        <v>76</v>
      </c>
      <c r="C24" s="11" t="s">
        <v>76</v>
      </c>
      <c r="D24" s="11" t="s">
        <v>76</v>
      </c>
    </row>
    <row r="25" spans="1:10" hidden="1" x14ac:dyDescent="0.25">
      <c r="A25" s="11" t="s">
        <v>78</v>
      </c>
      <c r="B25" s="11" t="s">
        <v>78</v>
      </c>
      <c r="C25" s="11" t="s">
        <v>78</v>
      </c>
      <c r="D25" s="11" t="s">
        <v>78</v>
      </c>
    </row>
    <row r="26" spans="1:10" hidden="1" x14ac:dyDescent="0.25">
      <c r="A26" s="11" t="s">
        <v>81</v>
      </c>
      <c r="B26" s="11" t="s">
        <v>81</v>
      </c>
      <c r="C26" s="11" t="s">
        <v>81</v>
      </c>
      <c r="D26" s="11" t="s">
        <v>81</v>
      </c>
    </row>
    <row r="27" spans="1:10" hidden="1" x14ac:dyDescent="0.25">
      <c r="A27" s="11" t="s">
        <v>83</v>
      </c>
      <c r="B27" s="11" t="s">
        <v>83</v>
      </c>
      <c r="C27" s="11" t="s">
        <v>83</v>
      </c>
      <c r="D27" s="11" t="s">
        <v>83</v>
      </c>
    </row>
    <row r="29" spans="1:10" x14ac:dyDescent="0.25">
      <c r="A29" t="s">
        <v>113</v>
      </c>
      <c r="B29" t="s">
        <v>114</v>
      </c>
      <c r="C29" t="s">
        <v>115</v>
      </c>
      <c r="D29" t="s">
        <v>116</v>
      </c>
    </row>
    <row r="30" spans="1:10" x14ac:dyDescent="0.25">
      <c r="A30" s="11" t="s">
        <v>70</v>
      </c>
      <c r="B30" s="11" t="s">
        <v>70</v>
      </c>
      <c r="C30" s="11" t="s">
        <v>434</v>
      </c>
      <c r="D30" s="11" t="s">
        <v>70</v>
      </c>
    </row>
    <row r="31" spans="1:10" x14ac:dyDescent="0.25">
      <c r="A31" s="11" t="s">
        <v>72</v>
      </c>
      <c r="B31" s="11" t="s">
        <v>72</v>
      </c>
      <c r="C31" s="11" t="s">
        <v>72</v>
      </c>
      <c r="D31" s="11" t="s">
        <v>72</v>
      </c>
    </row>
    <row r="32" spans="1:10" x14ac:dyDescent="0.25">
      <c r="A32" s="11" t="s">
        <v>74</v>
      </c>
      <c r="B32" s="11" t="s">
        <v>74</v>
      </c>
      <c r="C32" s="11" t="s">
        <v>74</v>
      </c>
      <c r="D32" s="11" t="s">
        <v>74</v>
      </c>
    </row>
    <row r="33" spans="1:4" x14ac:dyDescent="0.25">
      <c r="A33" s="11" t="s">
        <v>76</v>
      </c>
      <c r="B33" s="11" t="s">
        <v>76</v>
      </c>
      <c r="C33" s="11" t="s">
        <v>435</v>
      </c>
      <c r="D33" s="11" t="s">
        <v>76</v>
      </c>
    </row>
    <row r="34" spans="1:4" x14ac:dyDescent="0.25">
      <c r="A34" s="11" t="s">
        <v>78</v>
      </c>
      <c r="B34" s="11" t="s">
        <v>78</v>
      </c>
      <c r="C34" s="11" t="s">
        <v>78</v>
      </c>
      <c r="D34" s="11" t="s">
        <v>78</v>
      </c>
    </row>
    <row r="35" spans="1:4" x14ac:dyDescent="0.25">
      <c r="A35" s="11" t="s">
        <v>81</v>
      </c>
      <c r="B35" s="11" t="s">
        <v>81</v>
      </c>
      <c r="C35" s="11" t="s">
        <v>436</v>
      </c>
      <c r="D35" s="11" t="s">
        <v>81</v>
      </c>
    </row>
    <row r="36" spans="1:4" x14ac:dyDescent="0.25">
      <c r="A36" s="11" t="s">
        <v>83</v>
      </c>
      <c r="B36" s="11" t="s">
        <v>83</v>
      </c>
      <c r="C36" s="11" t="s">
        <v>83</v>
      </c>
      <c r="D36" s="11" t="s">
        <v>83</v>
      </c>
    </row>
    <row r="38" spans="1:4" x14ac:dyDescent="0.25">
      <c r="A38" t="s">
        <v>417</v>
      </c>
      <c r="B38" t="s">
        <v>418</v>
      </c>
      <c r="C38" t="s">
        <v>419</v>
      </c>
      <c r="D38" t="s">
        <v>420</v>
      </c>
    </row>
    <row r="39" spans="1:4" x14ac:dyDescent="0.25">
      <c r="A39" s="11" t="s">
        <v>70</v>
      </c>
      <c r="B39" s="11" t="s">
        <v>70</v>
      </c>
      <c r="C39" s="11" t="s">
        <v>70</v>
      </c>
      <c r="D39" s="11" t="s">
        <v>70</v>
      </c>
    </row>
    <row r="40" spans="1:4" x14ac:dyDescent="0.25">
      <c r="A40" s="11" t="s">
        <v>72</v>
      </c>
      <c r="B40" s="11" t="s">
        <v>72</v>
      </c>
      <c r="C40" s="11" t="s">
        <v>72</v>
      </c>
      <c r="D40" s="11" t="s">
        <v>72</v>
      </c>
    </row>
    <row r="41" spans="1:4" x14ac:dyDescent="0.25">
      <c r="A41" s="11" t="s">
        <v>74</v>
      </c>
      <c r="B41" s="11" t="s">
        <v>74</v>
      </c>
      <c r="C41" s="11" t="s">
        <v>74</v>
      </c>
      <c r="D41" s="11" t="s">
        <v>74</v>
      </c>
    </row>
    <row r="42" spans="1:4" x14ac:dyDescent="0.25">
      <c r="A42" s="11" t="s">
        <v>76</v>
      </c>
      <c r="B42" s="55" t="s">
        <v>422</v>
      </c>
      <c r="C42" s="55" t="s">
        <v>422</v>
      </c>
      <c r="D42" s="11" t="s">
        <v>81</v>
      </c>
    </row>
    <row r="43" spans="1:4" x14ac:dyDescent="0.25">
      <c r="A43" s="11" t="s">
        <v>78</v>
      </c>
      <c r="B43" s="55" t="s">
        <v>421</v>
      </c>
      <c r="C43" s="55" t="s">
        <v>421</v>
      </c>
      <c r="D43" s="11" t="s">
        <v>83</v>
      </c>
    </row>
    <row r="44" spans="1:4" x14ac:dyDescent="0.25">
      <c r="A44" s="11" t="s">
        <v>81</v>
      </c>
      <c r="B44" s="11" t="s">
        <v>81</v>
      </c>
      <c r="C44" s="11" t="s">
        <v>81</v>
      </c>
      <c r="D44" s="11" t="s">
        <v>471</v>
      </c>
    </row>
    <row r="45" spans="1:4" x14ac:dyDescent="0.25">
      <c r="A45" s="11" t="s">
        <v>83</v>
      </c>
      <c r="B45" s="11" t="s">
        <v>83</v>
      </c>
      <c r="C45" s="11" t="s">
        <v>83</v>
      </c>
      <c r="D45" s="14" t="s">
        <v>423</v>
      </c>
    </row>
    <row r="46" spans="1:4" hidden="1" x14ac:dyDescent="0.25">
      <c r="C46" s="11" t="s">
        <v>471</v>
      </c>
      <c r="D46" s="14" t="s">
        <v>424</v>
      </c>
    </row>
    <row r="47" spans="1:4" hidden="1" x14ac:dyDescent="0.25">
      <c r="C47" s="11" t="s">
        <v>423</v>
      </c>
    </row>
    <row r="48" spans="1:4" hidden="1" x14ac:dyDescent="0.25">
      <c r="C48" s="11" t="s">
        <v>424</v>
      </c>
    </row>
    <row r="49" spans="1:5" hidden="1" x14ac:dyDescent="0.25">
      <c r="C49" s="11" t="s">
        <v>29</v>
      </c>
    </row>
    <row r="50" spans="1:5" hidden="1" x14ac:dyDescent="0.25">
      <c r="C50" s="11" t="s">
        <v>35</v>
      </c>
    </row>
    <row r="51" spans="1:5" hidden="1" x14ac:dyDescent="0.25">
      <c r="C51" s="11" t="s">
        <v>30</v>
      </c>
    </row>
    <row r="52" spans="1:5" hidden="1" x14ac:dyDescent="0.25">
      <c r="C52" s="11" t="s">
        <v>32</v>
      </c>
    </row>
    <row r="53" spans="1:5" hidden="1" x14ac:dyDescent="0.25">
      <c r="C53" s="14" t="s">
        <v>31</v>
      </c>
    </row>
    <row r="54" spans="1:5" hidden="1" x14ac:dyDescent="0.25">
      <c r="C54" s="14" t="s">
        <v>481</v>
      </c>
    </row>
    <row r="55" spans="1:5" hidden="1" x14ac:dyDescent="0.25">
      <c r="C55" s="14" t="s">
        <v>48</v>
      </c>
    </row>
    <row r="56" spans="1:5" hidden="1" x14ac:dyDescent="0.25">
      <c r="C56" s="11" t="s">
        <v>515</v>
      </c>
    </row>
    <row r="57" spans="1:5" hidden="1" x14ac:dyDescent="0.25">
      <c r="C57" s="11" t="s">
        <v>516</v>
      </c>
    </row>
    <row r="58" spans="1:5" hidden="1" x14ac:dyDescent="0.25">
      <c r="C58" s="11" t="s">
        <v>517</v>
      </c>
    </row>
    <row r="59" spans="1:5" hidden="1" x14ac:dyDescent="0.25">
      <c r="C59" s="11" t="s">
        <v>518</v>
      </c>
    </row>
    <row r="61" spans="1:5" x14ac:dyDescent="0.25">
      <c r="A61" t="s">
        <v>519</v>
      </c>
      <c r="B61" t="s">
        <v>520</v>
      </c>
      <c r="C61" t="s">
        <v>521</v>
      </c>
      <c r="D61" t="s">
        <v>522</v>
      </c>
      <c r="E61" t="s">
        <v>523</v>
      </c>
    </row>
    <row r="62" spans="1:5" x14ac:dyDescent="0.25">
      <c r="A62" s="14" t="s">
        <v>70</v>
      </c>
      <c r="B62" s="11" t="s">
        <v>70</v>
      </c>
      <c r="C62" s="11" t="s">
        <v>70</v>
      </c>
      <c r="D62" s="11" t="s">
        <v>70</v>
      </c>
      <c r="E62" s="11" t="s">
        <v>70</v>
      </c>
    </row>
    <row r="63" spans="1:5" x14ac:dyDescent="0.25">
      <c r="A63" s="11" t="s">
        <v>72</v>
      </c>
      <c r="B63" s="11" t="s">
        <v>72</v>
      </c>
      <c r="C63" s="11" t="s">
        <v>72</v>
      </c>
      <c r="D63" s="11" t="s">
        <v>72</v>
      </c>
      <c r="E63" s="11" t="s">
        <v>72</v>
      </c>
    </row>
    <row r="64" spans="1:5" x14ac:dyDescent="0.25">
      <c r="A64" s="11" t="s">
        <v>74</v>
      </c>
      <c r="B64" s="11" t="s">
        <v>74</v>
      </c>
      <c r="C64" s="11" t="s">
        <v>74</v>
      </c>
      <c r="D64" s="11" t="s">
        <v>74</v>
      </c>
      <c r="E64" s="11" t="s">
        <v>74</v>
      </c>
    </row>
    <row r="65" spans="1:5" x14ac:dyDescent="0.25">
      <c r="A65" s="11" t="s">
        <v>81</v>
      </c>
      <c r="B65" s="11" t="s">
        <v>81</v>
      </c>
      <c r="C65" s="11" t="s">
        <v>81</v>
      </c>
      <c r="D65" s="11" t="s">
        <v>81</v>
      </c>
      <c r="E65" s="11" t="s">
        <v>81</v>
      </c>
    </row>
    <row r="66" spans="1:5" x14ac:dyDescent="0.25">
      <c r="A66" s="11" t="s">
        <v>83</v>
      </c>
      <c r="B66" s="11" t="s">
        <v>83</v>
      </c>
      <c r="C66" s="11" t="s">
        <v>83</v>
      </c>
      <c r="D66" s="11" t="s">
        <v>83</v>
      </c>
      <c r="E66" s="11" t="s">
        <v>83</v>
      </c>
    </row>
    <row r="67" spans="1:5" x14ac:dyDescent="0.25">
      <c r="A67" s="11" t="s">
        <v>471</v>
      </c>
      <c r="B67" s="11" t="s">
        <v>471</v>
      </c>
      <c r="C67" s="11" t="s">
        <v>471</v>
      </c>
      <c r="D67" s="11" t="s">
        <v>471</v>
      </c>
      <c r="E67" s="11" t="s">
        <v>471</v>
      </c>
    </row>
    <row r="68" spans="1:5" x14ac:dyDescent="0.25">
      <c r="A68" s="11" t="s">
        <v>423</v>
      </c>
      <c r="B68" s="11" t="s">
        <v>423</v>
      </c>
      <c r="C68" s="11" t="s">
        <v>423</v>
      </c>
      <c r="D68" s="11" t="s">
        <v>423</v>
      </c>
      <c r="E68" s="11" t="s">
        <v>423</v>
      </c>
    </row>
    <row r="69" spans="1:5" x14ac:dyDescent="0.25">
      <c r="A69" s="11" t="s">
        <v>424</v>
      </c>
      <c r="B69" s="11" t="s">
        <v>424</v>
      </c>
      <c r="C69" s="11" t="s">
        <v>424</v>
      </c>
      <c r="D69" s="11" t="s">
        <v>424</v>
      </c>
      <c r="E69" s="11" t="s">
        <v>424</v>
      </c>
    </row>
    <row r="71" spans="1:5" x14ac:dyDescent="0.25">
      <c r="A71" t="s">
        <v>636</v>
      </c>
      <c r="B71" t="s">
        <v>637</v>
      </c>
      <c r="C71" t="s">
        <v>638</v>
      </c>
      <c r="D71" t="s">
        <v>639</v>
      </c>
    </row>
    <row r="72" spans="1:5" x14ac:dyDescent="0.25">
      <c r="A72" s="11" t="s">
        <v>70</v>
      </c>
      <c r="B72" s="11" t="s">
        <v>70</v>
      </c>
      <c r="C72" s="14" t="s">
        <v>70</v>
      </c>
      <c r="D72" s="14" t="s">
        <v>70</v>
      </c>
    </row>
    <row r="73" spans="1:5" x14ac:dyDescent="0.25">
      <c r="A73" s="233" t="s">
        <v>1302</v>
      </c>
      <c r="B73" s="233" t="s">
        <v>1303</v>
      </c>
      <c r="C73" s="233" t="s">
        <v>1304</v>
      </c>
    </row>
    <row r="74" spans="1:5" ht="90" x14ac:dyDescent="0.25">
      <c r="A74" s="98" t="s">
        <v>75</v>
      </c>
      <c r="B74" s="7" t="s">
        <v>1305</v>
      </c>
      <c r="C74" s="2"/>
    </row>
    <row r="75" spans="1:5" ht="30" x14ac:dyDescent="0.25">
      <c r="A75" s="98" t="s">
        <v>1306</v>
      </c>
      <c r="B75" s="7" t="s">
        <v>1312</v>
      </c>
      <c r="C75" s="2"/>
    </row>
    <row r="76" spans="1:5" x14ac:dyDescent="0.25">
      <c r="A76" s="98" t="s">
        <v>70</v>
      </c>
      <c r="B76" s="2" t="s">
        <v>1313</v>
      </c>
      <c r="C76" s="2"/>
    </row>
    <row r="77" spans="1:5" ht="75" x14ac:dyDescent="0.25">
      <c r="A77" s="98" t="s">
        <v>1307</v>
      </c>
      <c r="B77" s="7" t="s">
        <v>1309</v>
      </c>
      <c r="C77" s="2"/>
    </row>
    <row r="78" spans="1:5" ht="30" x14ac:dyDescent="0.25">
      <c r="A78" s="98" t="s">
        <v>72</v>
      </c>
      <c r="B78" s="7" t="s">
        <v>1316</v>
      </c>
      <c r="C78" s="2"/>
    </row>
    <row r="79" spans="1:5" x14ac:dyDescent="0.25">
      <c r="A79" s="98" t="s">
        <v>343</v>
      </c>
      <c r="B79" t="s">
        <v>1315</v>
      </c>
      <c r="C79" s="2"/>
    </row>
    <row r="80" spans="1:5" ht="105" x14ac:dyDescent="0.25">
      <c r="A80" s="98" t="s">
        <v>1308</v>
      </c>
      <c r="B80" s="7" t="s">
        <v>1311</v>
      </c>
      <c r="C80" s="2"/>
    </row>
    <row r="81" spans="1:3" ht="270" x14ac:dyDescent="0.25">
      <c r="A81" s="98" t="s">
        <v>1310</v>
      </c>
      <c r="B81" s="7" t="s">
        <v>1324</v>
      </c>
      <c r="C81" s="2"/>
    </row>
    <row r="82" spans="1:3" ht="105" x14ac:dyDescent="0.25">
      <c r="A82" s="98" t="s">
        <v>1024</v>
      </c>
      <c r="B82" s="23" t="s">
        <v>1317</v>
      </c>
      <c r="C82" s="2"/>
    </row>
    <row r="83" spans="1:3" ht="120" x14ac:dyDescent="0.25">
      <c r="A83" s="98" t="s">
        <v>471</v>
      </c>
      <c r="B83" s="23" t="s">
        <v>1318</v>
      </c>
      <c r="C83" s="2"/>
    </row>
    <row r="84" spans="1:3" x14ac:dyDescent="0.25">
      <c r="A84" s="98" t="s">
        <v>71</v>
      </c>
      <c r="B84" s="2" t="s">
        <v>1313</v>
      </c>
      <c r="C84" s="2"/>
    </row>
    <row r="85" spans="1:3" ht="45" x14ac:dyDescent="0.25">
      <c r="A85" s="98" t="s">
        <v>415</v>
      </c>
      <c r="B85" s="7" t="s">
        <v>1320</v>
      </c>
      <c r="C85" s="2"/>
    </row>
    <row r="86" spans="1:3" x14ac:dyDescent="0.25">
      <c r="A86" s="98" t="s">
        <v>1292</v>
      </c>
      <c r="B86" s="2"/>
      <c r="C86" s="2"/>
    </row>
    <row r="87" spans="1:3" x14ac:dyDescent="0.25">
      <c r="A87" s="98" t="s">
        <v>73</v>
      </c>
      <c r="B87" s="2"/>
      <c r="C87" s="2"/>
    </row>
    <row r="88" spans="1:3" ht="30" x14ac:dyDescent="0.25">
      <c r="A88" s="98" t="s">
        <v>74</v>
      </c>
      <c r="B88" s="7" t="s">
        <v>1319</v>
      </c>
      <c r="C88" s="2"/>
    </row>
    <row r="89" spans="1:3" ht="135" x14ac:dyDescent="0.25">
      <c r="A89" s="98" t="s">
        <v>917</v>
      </c>
      <c r="B89" s="7" t="s">
        <v>1321</v>
      </c>
      <c r="C89" s="2"/>
    </row>
    <row r="90" spans="1:3" x14ac:dyDescent="0.25">
      <c r="A90" s="2"/>
      <c r="B90" s="2"/>
      <c r="C90" s="2"/>
    </row>
    <row r="91" spans="1:3" x14ac:dyDescent="0.25">
      <c r="A91" s="2"/>
      <c r="B91" s="2"/>
      <c r="C91" s="2"/>
    </row>
    <row r="92" spans="1:3" x14ac:dyDescent="0.25">
      <c r="A92" s="2"/>
      <c r="B92" s="2"/>
      <c r="C92" s="2"/>
    </row>
  </sheetData>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A41CE-C427-42AC-8E17-E60BC8474D8F}">
  <dimension ref="A1:G13"/>
  <sheetViews>
    <sheetView workbookViewId="0">
      <selection activeCell="B14" sqref="B14"/>
    </sheetView>
  </sheetViews>
  <sheetFormatPr defaultRowHeight="15" x14ac:dyDescent="0.25"/>
  <cols>
    <col min="1" max="1" width="13.5703125" bestFit="1" customWidth="1"/>
    <col min="2" max="2" width="14.28515625" bestFit="1" customWidth="1"/>
    <col min="3" max="3" width="22.5703125" bestFit="1" customWidth="1"/>
    <col min="4" max="4" width="22.85546875" bestFit="1" customWidth="1"/>
    <col min="5" max="5" width="13.85546875" bestFit="1" customWidth="1"/>
    <col min="6" max="6" width="11.7109375" bestFit="1" customWidth="1"/>
    <col min="7" max="7" width="13.28515625" bestFit="1" customWidth="1"/>
  </cols>
  <sheetData>
    <row r="1" spans="1:7" x14ac:dyDescent="0.25">
      <c r="B1" t="s">
        <v>1221</v>
      </c>
      <c r="C1" t="s">
        <v>1222</v>
      </c>
      <c r="D1" t="s">
        <v>1223</v>
      </c>
      <c r="E1" t="s">
        <v>1224</v>
      </c>
      <c r="F1" t="s">
        <v>1225</v>
      </c>
      <c r="G1" t="s">
        <v>1226</v>
      </c>
    </row>
    <row r="2" spans="1:7" x14ac:dyDescent="0.25">
      <c r="B2">
        <v>9.17</v>
      </c>
      <c r="C2">
        <v>99.5</v>
      </c>
      <c r="D2">
        <f>SUM(C2*40)</f>
        <v>3980</v>
      </c>
      <c r="E2">
        <v>26</v>
      </c>
      <c r="F2">
        <v>238.41</v>
      </c>
      <c r="G2" s="227">
        <f>SUM(D2*F2)</f>
        <v>948871.79999999993</v>
      </c>
    </row>
    <row r="4" spans="1:7" x14ac:dyDescent="0.25">
      <c r="A4" t="s">
        <v>1227</v>
      </c>
    </row>
    <row r="5" spans="1:7" x14ac:dyDescent="0.25">
      <c r="A5" t="s">
        <v>1228</v>
      </c>
      <c r="B5" s="227">
        <f>G2*0.8</f>
        <v>759097.44</v>
      </c>
    </row>
    <row r="6" spans="1:7" x14ac:dyDescent="0.25">
      <c r="A6" t="s">
        <v>1229</v>
      </c>
    </row>
    <row r="7" spans="1:7" x14ac:dyDescent="0.25">
      <c r="A7" t="s">
        <v>1230</v>
      </c>
    </row>
    <row r="8" spans="1:7" x14ac:dyDescent="0.25">
      <c r="A8" t="s">
        <v>1231</v>
      </c>
    </row>
    <row r="9" spans="1:7" x14ac:dyDescent="0.25">
      <c r="A9" t="s">
        <v>1232</v>
      </c>
    </row>
    <row r="10" spans="1:7" x14ac:dyDescent="0.25">
      <c r="A10" t="s">
        <v>1233</v>
      </c>
    </row>
    <row r="11" spans="1:7" x14ac:dyDescent="0.25">
      <c r="A11" t="s">
        <v>1233</v>
      </c>
    </row>
    <row r="12" spans="1:7" x14ac:dyDescent="0.25">
      <c r="A12" t="s">
        <v>1233</v>
      </c>
    </row>
    <row r="13" spans="1:7" x14ac:dyDescent="0.25">
      <c r="B13" s="228">
        <f>SUM(G2-B5-B12-B7,B6,B8,B9,B10,B11)</f>
        <v>189774.36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B7EA7-0358-4D48-B8AC-92E29C7E2AAB}">
  <dimension ref="A1:X118"/>
  <sheetViews>
    <sheetView workbookViewId="0">
      <selection activeCell="D51" sqref="D51"/>
    </sheetView>
  </sheetViews>
  <sheetFormatPr defaultRowHeight="15" x14ac:dyDescent="0.25"/>
  <cols>
    <col min="1" max="1" width="5.5703125" customWidth="1"/>
    <col min="2" max="2" width="12.140625" style="9" bestFit="1" customWidth="1"/>
    <col min="3" max="3" width="9.85546875" style="9" bestFit="1" customWidth="1"/>
    <col min="4" max="4" width="14.7109375" style="9" customWidth="1"/>
    <col min="5" max="5" width="12" style="9" customWidth="1"/>
    <col min="6" max="6" width="11.5703125" style="9" bestFit="1" customWidth="1"/>
    <col min="7" max="8" width="11.5703125" style="9" customWidth="1"/>
    <col min="9" max="9" width="21.7109375" style="9" customWidth="1"/>
    <col min="10" max="10" width="52.28515625" bestFit="1" customWidth="1"/>
    <col min="13" max="13" width="14" bestFit="1" customWidth="1"/>
    <col min="14" max="14" width="14.42578125" customWidth="1"/>
    <col min="16" max="16" width="14" bestFit="1" customWidth="1"/>
    <col min="19" max="19" width="21" bestFit="1" customWidth="1"/>
  </cols>
  <sheetData>
    <row r="1" spans="2:22" ht="30" x14ac:dyDescent="0.25">
      <c r="B1" s="64" t="s">
        <v>285</v>
      </c>
      <c r="C1" s="64" t="s">
        <v>286</v>
      </c>
      <c r="D1" s="64" t="s">
        <v>287</v>
      </c>
      <c r="E1" s="64" t="s">
        <v>288</v>
      </c>
      <c r="F1" s="64" t="s">
        <v>289</v>
      </c>
      <c r="G1" s="64" t="s">
        <v>290</v>
      </c>
      <c r="H1" s="64" t="s">
        <v>603</v>
      </c>
      <c r="I1" s="64" t="s">
        <v>604</v>
      </c>
    </row>
    <row r="2" spans="2:22" x14ac:dyDescent="0.25">
      <c r="B2" s="76"/>
      <c r="C2" s="76"/>
      <c r="D2" s="76"/>
      <c r="E2" s="96" t="s">
        <v>291</v>
      </c>
      <c r="F2" s="76"/>
      <c r="G2" s="76"/>
      <c r="H2" s="64"/>
      <c r="I2" s="64"/>
    </row>
    <row r="3" spans="2:22" x14ac:dyDescent="0.25">
      <c r="B3" s="63">
        <v>45664</v>
      </c>
      <c r="C3" s="7">
        <v>195</v>
      </c>
      <c r="D3" s="7">
        <v>177</v>
      </c>
      <c r="E3" s="96" t="s">
        <v>292</v>
      </c>
      <c r="F3" s="7">
        <f>SUM(D3/5)</f>
        <v>35.4</v>
      </c>
      <c r="G3" s="7">
        <f>F3/22</f>
        <v>1.6090909090909091</v>
      </c>
      <c r="S3">
        <v>2025</v>
      </c>
    </row>
    <row r="4" spans="2:22" x14ac:dyDescent="0.25">
      <c r="B4" s="63">
        <v>45671</v>
      </c>
      <c r="C4" s="7">
        <v>197</v>
      </c>
      <c r="D4" s="7">
        <v>252</v>
      </c>
      <c r="E4" s="96" t="s">
        <v>293</v>
      </c>
      <c r="F4" s="7">
        <f>SUM(D4/5)</f>
        <v>50.4</v>
      </c>
      <c r="G4" s="7">
        <f t="shared" ref="G4:G25" si="0">F4/22</f>
        <v>2.290909090909091</v>
      </c>
      <c r="K4" t="s">
        <v>294</v>
      </c>
      <c r="S4">
        <v>18</v>
      </c>
      <c r="T4">
        <v>70</v>
      </c>
      <c r="U4" s="5">
        <f>SUM(S4/T4)</f>
        <v>0.25714285714285712</v>
      </c>
    </row>
    <row r="5" spans="2:22" x14ac:dyDescent="0.25">
      <c r="B5" s="63">
        <v>45678</v>
      </c>
      <c r="C5" s="7">
        <v>229</v>
      </c>
      <c r="D5" s="7">
        <v>220</v>
      </c>
      <c r="E5" s="96" t="s">
        <v>295</v>
      </c>
      <c r="F5" s="7">
        <f>SUM(D5/5)</f>
        <v>44</v>
      </c>
      <c r="G5" s="7">
        <f t="shared" si="0"/>
        <v>2</v>
      </c>
    </row>
    <row r="6" spans="2:22" x14ac:dyDescent="0.25">
      <c r="B6" s="63">
        <v>45685</v>
      </c>
      <c r="C6" s="7">
        <v>210</v>
      </c>
      <c r="D6" s="7">
        <v>182</v>
      </c>
      <c r="E6" s="96" t="s">
        <v>296</v>
      </c>
      <c r="F6" s="7">
        <f>SUM(D6/5)</f>
        <v>36.4</v>
      </c>
      <c r="G6" s="7">
        <f t="shared" si="0"/>
        <v>1.6545454545454545</v>
      </c>
      <c r="J6" t="s">
        <v>297</v>
      </c>
      <c r="K6" t="s">
        <v>298</v>
      </c>
    </row>
    <row r="7" spans="2:22" x14ac:dyDescent="0.25">
      <c r="B7" s="63">
        <v>45692</v>
      </c>
      <c r="C7" s="7">
        <v>243</v>
      </c>
      <c r="D7" s="7">
        <v>190</v>
      </c>
      <c r="E7" s="96" t="s">
        <v>299</v>
      </c>
      <c r="F7" s="7">
        <f>SUM(D7/5)</f>
        <v>38</v>
      </c>
      <c r="G7" s="7">
        <f t="shared" si="0"/>
        <v>1.7272727272727273</v>
      </c>
      <c r="J7" t="s">
        <v>300</v>
      </c>
      <c r="T7">
        <v>6</v>
      </c>
      <c r="U7">
        <v>85000</v>
      </c>
      <c r="V7">
        <f>SUM(U7/52)</f>
        <v>1634.6153846153845</v>
      </c>
    </row>
    <row r="8" spans="2:22" x14ac:dyDescent="0.25">
      <c r="B8" s="63">
        <v>45699</v>
      </c>
      <c r="C8" s="7">
        <v>265</v>
      </c>
      <c r="D8" s="7">
        <v>140</v>
      </c>
      <c r="E8" s="96" t="s">
        <v>301</v>
      </c>
      <c r="F8" s="7">
        <f t="shared" ref="F8:F13" si="1">SUM(D8/5)</f>
        <v>28</v>
      </c>
      <c r="G8" s="7">
        <f t="shared" si="0"/>
        <v>1.2727272727272727</v>
      </c>
      <c r="L8">
        <f>F8/23</f>
        <v>1.2173913043478262</v>
      </c>
      <c r="O8">
        <v>70</v>
      </c>
      <c r="P8">
        <v>43</v>
      </c>
    </row>
    <row r="9" spans="2:22" x14ac:dyDescent="0.25">
      <c r="B9" s="63">
        <v>45706</v>
      </c>
      <c r="C9" s="7">
        <v>180</v>
      </c>
      <c r="D9" s="7">
        <v>169</v>
      </c>
      <c r="E9" s="96" t="s">
        <v>302</v>
      </c>
      <c r="F9" s="7">
        <f t="shared" si="1"/>
        <v>33.799999999999997</v>
      </c>
      <c r="G9" s="7">
        <f t="shared" si="0"/>
        <v>1.5363636363636362</v>
      </c>
      <c r="K9" t="s">
        <v>303</v>
      </c>
      <c r="L9" t="s">
        <v>304</v>
      </c>
      <c r="S9" t="s">
        <v>671</v>
      </c>
      <c r="T9" s="122">
        <f>SUM(V7*T7)</f>
        <v>9807.6923076923067</v>
      </c>
    </row>
    <row r="10" spans="2:22" x14ac:dyDescent="0.25">
      <c r="B10" s="63">
        <v>45713</v>
      </c>
      <c r="C10" s="7">
        <v>164</v>
      </c>
      <c r="D10" s="7">
        <v>167</v>
      </c>
      <c r="E10" s="96" t="s">
        <v>305</v>
      </c>
      <c r="F10" s="7">
        <f t="shared" si="1"/>
        <v>33.4</v>
      </c>
      <c r="G10" s="7">
        <f t="shared" si="0"/>
        <v>1.5181818181818181</v>
      </c>
    </row>
    <row r="11" spans="2:22" x14ac:dyDescent="0.25">
      <c r="B11" s="63">
        <v>45720</v>
      </c>
      <c r="C11" s="7">
        <v>182</v>
      </c>
      <c r="D11" s="7">
        <v>136</v>
      </c>
      <c r="E11" s="96" t="s">
        <v>393</v>
      </c>
      <c r="F11" s="7">
        <f t="shared" si="1"/>
        <v>27.2</v>
      </c>
      <c r="G11" s="7">
        <f t="shared" si="0"/>
        <v>1.2363636363636363</v>
      </c>
      <c r="O11" s="5">
        <f>SUM(P8/O8)</f>
        <v>0.61428571428571432</v>
      </c>
    </row>
    <row r="12" spans="2:22" x14ac:dyDescent="0.25">
      <c r="B12" s="63">
        <v>45727</v>
      </c>
      <c r="C12" s="7">
        <v>114</v>
      </c>
      <c r="D12" s="7">
        <v>125</v>
      </c>
      <c r="E12" s="96" t="s">
        <v>395</v>
      </c>
      <c r="F12" s="7">
        <f t="shared" si="1"/>
        <v>25</v>
      </c>
      <c r="G12" s="7">
        <f t="shared" si="0"/>
        <v>1.1363636363636365</v>
      </c>
    </row>
    <row r="13" spans="2:22" x14ac:dyDescent="0.25">
      <c r="B13" s="63">
        <v>45734</v>
      </c>
      <c r="C13" s="7">
        <v>94</v>
      </c>
      <c r="D13" s="7">
        <v>164</v>
      </c>
      <c r="E13" s="96" t="s">
        <v>407</v>
      </c>
      <c r="F13" s="7">
        <f t="shared" si="1"/>
        <v>32.799999999999997</v>
      </c>
      <c r="G13" s="7">
        <f t="shared" si="0"/>
        <v>1.4909090909090907</v>
      </c>
      <c r="H13" s="9">
        <v>70</v>
      </c>
      <c r="I13" s="114">
        <f>SUM(D13/H13)</f>
        <v>2.342857142857143</v>
      </c>
    </row>
    <row r="14" spans="2:22" x14ac:dyDescent="0.25">
      <c r="B14" s="63">
        <v>45741</v>
      </c>
      <c r="C14" s="7">
        <v>52</v>
      </c>
      <c r="D14" s="7">
        <v>124</v>
      </c>
      <c r="E14" s="96" t="s">
        <v>427</v>
      </c>
      <c r="F14" s="7">
        <f>SUM(D14/5)</f>
        <v>24.8</v>
      </c>
      <c r="G14" s="7">
        <f t="shared" si="0"/>
        <v>1.1272727272727272</v>
      </c>
      <c r="H14" s="9">
        <v>65</v>
      </c>
      <c r="I14" s="114">
        <f t="shared" ref="I14:I20" si="2">SUM(D14/H14)</f>
        <v>1.9076923076923078</v>
      </c>
      <c r="J14" t="s">
        <v>426</v>
      </c>
    </row>
    <row r="15" spans="2:22" x14ac:dyDescent="0.25">
      <c r="B15" s="63">
        <v>45748</v>
      </c>
      <c r="C15" s="7">
        <v>87</v>
      </c>
      <c r="D15" s="7">
        <v>210</v>
      </c>
      <c r="E15" s="96" t="s">
        <v>447</v>
      </c>
      <c r="F15" s="7">
        <f>SUM(D15/5)</f>
        <v>42</v>
      </c>
      <c r="G15" s="7">
        <f t="shared" si="0"/>
        <v>1.9090909090909092</v>
      </c>
      <c r="H15" s="9">
        <v>59</v>
      </c>
      <c r="I15" s="114">
        <f t="shared" si="2"/>
        <v>3.5593220338983049</v>
      </c>
    </row>
    <row r="16" spans="2:22" x14ac:dyDescent="0.25">
      <c r="B16" s="63">
        <v>45755</v>
      </c>
      <c r="C16" s="7">
        <v>72</v>
      </c>
      <c r="D16" s="7">
        <v>133</v>
      </c>
      <c r="E16" s="96" t="s">
        <v>469</v>
      </c>
      <c r="F16" s="7">
        <f t="shared" ref="F16:F25" si="3">SUM(D16/5)</f>
        <v>26.6</v>
      </c>
      <c r="G16" s="7">
        <f t="shared" si="0"/>
        <v>1.2090909090909092</v>
      </c>
      <c r="I16" s="114" t="e">
        <f t="shared" si="2"/>
        <v>#DIV/0!</v>
      </c>
    </row>
    <row r="17" spans="2:18" x14ac:dyDescent="0.25">
      <c r="B17" s="63">
        <v>45762</v>
      </c>
      <c r="C17" s="7">
        <v>59</v>
      </c>
      <c r="D17" s="7">
        <v>102</v>
      </c>
      <c r="E17" s="96" t="s">
        <v>480</v>
      </c>
      <c r="F17" s="7">
        <f t="shared" si="3"/>
        <v>20.399999999999999</v>
      </c>
      <c r="G17" s="7">
        <f t="shared" si="0"/>
        <v>0.92727272727272725</v>
      </c>
      <c r="H17" s="9">
        <v>60</v>
      </c>
      <c r="I17" s="114">
        <f t="shared" si="2"/>
        <v>1.7</v>
      </c>
    </row>
    <row r="18" spans="2:18" x14ac:dyDescent="0.25">
      <c r="B18" s="63">
        <v>45769</v>
      </c>
      <c r="C18" s="7">
        <v>134</v>
      </c>
      <c r="D18" s="7">
        <v>105</v>
      </c>
      <c r="E18" s="96" t="s">
        <v>531</v>
      </c>
      <c r="F18" s="7">
        <f t="shared" si="3"/>
        <v>21</v>
      </c>
      <c r="G18" s="7">
        <f t="shared" si="0"/>
        <v>0.95454545454545459</v>
      </c>
      <c r="H18" s="9">
        <v>57</v>
      </c>
      <c r="I18" s="114">
        <f t="shared" si="2"/>
        <v>1.8421052631578947</v>
      </c>
    </row>
    <row r="19" spans="2:18" x14ac:dyDescent="0.25">
      <c r="B19" s="63">
        <v>45776</v>
      </c>
      <c r="C19" s="7">
        <v>127</v>
      </c>
      <c r="D19" s="7">
        <v>134</v>
      </c>
      <c r="E19" s="96" t="s">
        <v>572</v>
      </c>
      <c r="F19" s="7">
        <f t="shared" si="3"/>
        <v>26.8</v>
      </c>
      <c r="G19" s="7">
        <f t="shared" si="0"/>
        <v>1.2181818181818183</v>
      </c>
      <c r="H19" s="9">
        <v>40</v>
      </c>
      <c r="I19" s="114">
        <f t="shared" si="2"/>
        <v>3.35</v>
      </c>
    </row>
    <row r="20" spans="2:18" x14ac:dyDescent="0.25">
      <c r="B20" s="63">
        <v>45783</v>
      </c>
      <c r="C20" s="7">
        <v>162</v>
      </c>
      <c r="D20" s="7">
        <v>92</v>
      </c>
      <c r="E20" s="96" t="s">
        <v>584</v>
      </c>
      <c r="F20" s="7">
        <f t="shared" si="3"/>
        <v>18.399999999999999</v>
      </c>
      <c r="G20" s="7">
        <f t="shared" si="0"/>
        <v>0.83636363636363631</v>
      </c>
      <c r="H20" s="9">
        <v>45</v>
      </c>
      <c r="I20" s="114">
        <f t="shared" si="2"/>
        <v>2.0444444444444443</v>
      </c>
    </row>
    <row r="21" spans="2:18" x14ac:dyDescent="0.25">
      <c r="B21" s="63">
        <v>45790</v>
      </c>
      <c r="C21" s="7">
        <v>126</v>
      </c>
      <c r="D21" s="7">
        <v>186</v>
      </c>
      <c r="E21" s="96" t="s">
        <v>605</v>
      </c>
      <c r="F21" s="7">
        <f t="shared" si="3"/>
        <v>37.200000000000003</v>
      </c>
      <c r="G21" s="7">
        <f t="shared" si="0"/>
        <v>1.6909090909090911</v>
      </c>
      <c r="H21" s="9">
        <v>73</v>
      </c>
      <c r="I21" s="114">
        <f>SUM(D21/H21)</f>
        <v>2.547945205479452</v>
      </c>
    </row>
    <row r="22" spans="2:18" x14ac:dyDescent="0.25">
      <c r="B22" s="63">
        <v>45797</v>
      </c>
      <c r="C22" s="7">
        <v>133</v>
      </c>
      <c r="D22" s="7">
        <v>104</v>
      </c>
      <c r="E22" s="96" t="s">
        <v>606</v>
      </c>
      <c r="F22" s="7">
        <f t="shared" si="3"/>
        <v>20.8</v>
      </c>
      <c r="G22" s="7">
        <f t="shared" si="0"/>
        <v>0.94545454545454544</v>
      </c>
      <c r="H22" s="9">
        <v>42</v>
      </c>
      <c r="I22" s="9">
        <f t="shared" ref="I22:I34" si="4">SUM(D22/H22)</f>
        <v>2.4761904761904763</v>
      </c>
    </row>
    <row r="23" spans="2:18" x14ac:dyDescent="0.25">
      <c r="B23" s="63">
        <v>45804</v>
      </c>
      <c r="C23" s="7">
        <v>108</v>
      </c>
      <c r="D23" s="7">
        <v>116</v>
      </c>
      <c r="E23" s="96" t="s">
        <v>642</v>
      </c>
      <c r="F23" s="7">
        <f t="shared" si="3"/>
        <v>23.2</v>
      </c>
      <c r="G23" s="7">
        <f t="shared" si="0"/>
        <v>1.0545454545454545</v>
      </c>
      <c r="H23" s="9">
        <v>53</v>
      </c>
      <c r="I23" s="9">
        <f t="shared" si="4"/>
        <v>2.1886792452830188</v>
      </c>
    </row>
    <row r="24" spans="2:18" x14ac:dyDescent="0.25">
      <c r="B24" s="63">
        <v>45811</v>
      </c>
      <c r="C24" s="7">
        <v>111</v>
      </c>
      <c r="D24" s="7">
        <v>142</v>
      </c>
      <c r="E24" s="96" t="s">
        <v>655</v>
      </c>
      <c r="F24" s="7">
        <f t="shared" si="3"/>
        <v>28.4</v>
      </c>
      <c r="G24" s="7">
        <f t="shared" si="0"/>
        <v>1.2909090909090908</v>
      </c>
      <c r="H24" s="9">
        <v>46</v>
      </c>
      <c r="I24" s="9">
        <f t="shared" si="4"/>
        <v>3.0869565217391304</v>
      </c>
    </row>
    <row r="25" spans="2:18" x14ac:dyDescent="0.25">
      <c r="B25" s="63">
        <v>45818</v>
      </c>
      <c r="C25" s="7">
        <v>115</v>
      </c>
      <c r="D25" s="7">
        <v>154</v>
      </c>
      <c r="E25" s="96" t="s">
        <v>673</v>
      </c>
      <c r="F25" s="7">
        <f t="shared" si="3"/>
        <v>30.8</v>
      </c>
      <c r="G25" s="7">
        <f t="shared" si="0"/>
        <v>1.4000000000000001</v>
      </c>
      <c r="H25" s="9">
        <v>70</v>
      </c>
      <c r="I25" s="9">
        <f t="shared" si="4"/>
        <v>2.2000000000000002</v>
      </c>
    </row>
    <row r="26" spans="2:18" x14ac:dyDescent="0.25">
      <c r="B26" s="63">
        <v>45825</v>
      </c>
      <c r="C26" s="7">
        <v>108</v>
      </c>
      <c r="D26" s="7">
        <v>78</v>
      </c>
      <c r="E26" s="96" t="s">
        <v>676</v>
      </c>
      <c r="F26" s="7">
        <f t="shared" ref="F26:F54" si="5">SUM(D26/5)</f>
        <v>15.6</v>
      </c>
      <c r="G26" s="7">
        <f t="shared" ref="G26:G27" si="6">F26/22</f>
        <v>0.70909090909090911</v>
      </c>
      <c r="H26" s="9">
        <v>52</v>
      </c>
      <c r="I26" s="9">
        <f t="shared" si="4"/>
        <v>1.5</v>
      </c>
    </row>
    <row r="27" spans="2:18" x14ac:dyDescent="0.25">
      <c r="B27" s="63">
        <v>45832</v>
      </c>
      <c r="C27" s="7">
        <v>100</v>
      </c>
      <c r="D27" s="7">
        <v>65</v>
      </c>
      <c r="E27" s="96" t="s">
        <v>677</v>
      </c>
      <c r="F27" s="7">
        <f t="shared" si="5"/>
        <v>13</v>
      </c>
      <c r="G27" s="7">
        <f t="shared" si="6"/>
        <v>0.59090909090909094</v>
      </c>
      <c r="H27" s="9">
        <v>44</v>
      </c>
      <c r="I27" s="126">
        <f t="shared" si="4"/>
        <v>1.4772727272727273</v>
      </c>
      <c r="R27">
        <v>9</v>
      </c>
    </row>
    <row r="28" spans="2:18" x14ac:dyDescent="0.25">
      <c r="B28" s="63">
        <v>45839</v>
      </c>
      <c r="C28" s="7">
        <v>123</v>
      </c>
      <c r="D28" s="7">
        <v>109</v>
      </c>
      <c r="E28" s="96" t="s">
        <v>680</v>
      </c>
      <c r="F28" s="7">
        <f t="shared" si="5"/>
        <v>21.8</v>
      </c>
      <c r="G28" s="7">
        <f>F28/19</f>
        <v>1.1473684210526316</v>
      </c>
      <c r="H28" s="9">
        <v>70</v>
      </c>
      <c r="I28" s="126">
        <f t="shared" si="4"/>
        <v>1.5571428571428572</v>
      </c>
      <c r="J28" t="s">
        <v>765</v>
      </c>
      <c r="R28">
        <v>33</v>
      </c>
    </row>
    <row r="29" spans="2:18" x14ac:dyDescent="0.25">
      <c r="B29" s="63">
        <v>45846</v>
      </c>
      <c r="C29" s="7">
        <v>166</v>
      </c>
      <c r="D29" s="7">
        <v>92</v>
      </c>
      <c r="E29" s="96" t="s">
        <v>698</v>
      </c>
      <c r="F29" s="7">
        <f t="shared" si="5"/>
        <v>18.399999999999999</v>
      </c>
      <c r="G29" s="7">
        <f t="shared" ref="G29:G44" si="7">F29/19</f>
        <v>0.96842105263157885</v>
      </c>
      <c r="H29" s="9">
        <v>79</v>
      </c>
      <c r="I29" s="126">
        <f t="shared" si="4"/>
        <v>1.1645569620253164</v>
      </c>
      <c r="R29">
        <v>13</v>
      </c>
    </row>
    <row r="30" spans="2:18" x14ac:dyDescent="0.25">
      <c r="B30" s="63">
        <v>45853</v>
      </c>
      <c r="C30" s="7">
        <v>141</v>
      </c>
      <c r="D30" s="7">
        <v>80</v>
      </c>
      <c r="E30" s="96" t="s">
        <v>720</v>
      </c>
      <c r="F30" s="7">
        <f t="shared" si="5"/>
        <v>16</v>
      </c>
      <c r="G30" s="7">
        <f t="shared" si="7"/>
        <v>0.84210526315789469</v>
      </c>
      <c r="H30" s="9">
        <v>43</v>
      </c>
      <c r="I30" s="126">
        <f t="shared" si="4"/>
        <v>1.8604651162790697</v>
      </c>
      <c r="R30">
        <v>36</v>
      </c>
    </row>
    <row r="31" spans="2:18" x14ac:dyDescent="0.25">
      <c r="B31" s="63">
        <v>45860</v>
      </c>
      <c r="C31" s="7">
        <v>109</v>
      </c>
      <c r="D31" s="7">
        <v>105</v>
      </c>
      <c r="E31" s="96" t="s">
        <v>736</v>
      </c>
      <c r="F31" s="7">
        <f t="shared" si="5"/>
        <v>21</v>
      </c>
      <c r="G31" s="7">
        <f t="shared" si="7"/>
        <v>1.1052631578947369</v>
      </c>
      <c r="H31" s="9">
        <v>52</v>
      </c>
      <c r="I31" s="126">
        <f t="shared" si="4"/>
        <v>2.0192307692307692</v>
      </c>
      <c r="R31">
        <v>75</v>
      </c>
    </row>
    <row r="32" spans="2:18" x14ac:dyDescent="0.25">
      <c r="B32" s="63">
        <v>45867</v>
      </c>
      <c r="C32" s="7">
        <v>122</v>
      </c>
      <c r="D32" s="7">
        <v>101</v>
      </c>
      <c r="E32" s="96" t="s">
        <v>755</v>
      </c>
      <c r="F32" s="7">
        <f t="shared" si="5"/>
        <v>20.2</v>
      </c>
      <c r="G32" s="7">
        <f t="shared" si="7"/>
        <v>1.0631578947368421</v>
      </c>
      <c r="H32" s="9">
        <v>52</v>
      </c>
      <c r="I32" s="126">
        <f t="shared" si="4"/>
        <v>1.9423076923076923</v>
      </c>
    </row>
    <row r="33" spans="1:24" x14ac:dyDescent="0.25">
      <c r="B33" s="63">
        <v>45874</v>
      </c>
      <c r="C33" s="7">
        <v>153</v>
      </c>
      <c r="D33" s="7">
        <v>87</v>
      </c>
      <c r="E33" s="96" t="s">
        <v>756</v>
      </c>
      <c r="F33" s="7">
        <f t="shared" si="5"/>
        <v>17.399999999999999</v>
      </c>
      <c r="G33" s="7">
        <f t="shared" si="7"/>
        <v>0.91578947368421049</v>
      </c>
      <c r="H33" s="9">
        <v>69</v>
      </c>
      <c r="I33" s="126">
        <f t="shared" si="4"/>
        <v>1.2608695652173914</v>
      </c>
      <c r="V33" s="6" t="s">
        <v>1167</v>
      </c>
      <c r="W33" s="6" t="s">
        <v>1168</v>
      </c>
      <c r="X33" s="6" t="s">
        <v>1168</v>
      </c>
    </row>
    <row r="34" spans="1:24" x14ac:dyDescent="0.25">
      <c r="B34" s="63">
        <v>45881</v>
      </c>
      <c r="C34" s="7">
        <v>162</v>
      </c>
      <c r="D34" s="7">
        <v>66</v>
      </c>
      <c r="E34" s="96" t="s">
        <v>773</v>
      </c>
      <c r="F34" s="7">
        <f t="shared" si="5"/>
        <v>13.2</v>
      </c>
      <c r="G34" s="7">
        <f t="shared" si="7"/>
        <v>0.6947368421052631</v>
      </c>
      <c r="H34" s="9">
        <v>52</v>
      </c>
      <c r="I34" s="126">
        <f t="shared" si="4"/>
        <v>1.2692307692307692</v>
      </c>
      <c r="V34" s="2" t="s">
        <v>70</v>
      </c>
      <c r="W34" s="2" t="s">
        <v>825</v>
      </c>
      <c r="X34" s="2"/>
    </row>
    <row r="35" spans="1:24" x14ac:dyDescent="0.25">
      <c r="B35" s="63">
        <v>45888</v>
      </c>
      <c r="C35" s="7">
        <v>328</v>
      </c>
      <c r="D35" s="7">
        <v>103</v>
      </c>
      <c r="E35" s="96" t="s">
        <v>787</v>
      </c>
      <c r="F35" s="7">
        <f t="shared" si="5"/>
        <v>20.6</v>
      </c>
      <c r="G35" s="7">
        <f t="shared" si="7"/>
        <v>1.0842105263157895</v>
      </c>
      <c r="H35" s="9">
        <v>38</v>
      </c>
      <c r="I35" s="126">
        <f t="shared" ref="I35:I54" si="8">SUM(D35/H35)</f>
        <v>2.7105263157894739</v>
      </c>
      <c r="V35" s="2" t="s">
        <v>74</v>
      </c>
      <c r="W35" s="2" t="s">
        <v>83</v>
      </c>
      <c r="X35" s="2" t="s">
        <v>424</v>
      </c>
    </row>
    <row r="36" spans="1:24" x14ac:dyDescent="0.25">
      <c r="B36" s="63">
        <v>45895</v>
      </c>
      <c r="C36" s="7">
        <v>407</v>
      </c>
      <c r="D36" s="7">
        <v>88</v>
      </c>
      <c r="E36" s="96" t="s">
        <v>826</v>
      </c>
      <c r="F36" s="7">
        <f t="shared" si="5"/>
        <v>17.600000000000001</v>
      </c>
      <c r="G36" s="7">
        <f t="shared" si="7"/>
        <v>0.92631578947368431</v>
      </c>
      <c r="H36" s="9">
        <v>36</v>
      </c>
      <c r="I36" s="126">
        <f t="shared" si="8"/>
        <v>2.4444444444444446</v>
      </c>
      <c r="V36" s="2" t="s">
        <v>1169</v>
      </c>
      <c r="W36" s="2" t="s">
        <v>71</v>
      </c>
      <c r="X36" s="2"/>
    </row>
    <row r="37" spans="1:24" ht="15.75" thickBot="1" x14ac:dyDescent="0.3">
      <c r="B37" s="63">
        <v>45902</v>
      </c>
      <c r="C37" s="7">
        <v>397</v>
      </c>
      <c r="D37" s="7">
        <v>75</v>
      </c>
      <c r="E37" s="96" t="s">
        <v>886</v>
      </c>
      <c r="F37" s="7">
        <f t="shared" si="5"/>
        <v>15</v>
      </c>
      <c r="G37" s="7">
        <f t="shared" si="7"/>
        <v>0.78947368421052633</v>
      </c>
      <c r="H37" s="9">
        <v>64</v>
      </c>
      <c r="I37" s="126">
        <f t="shared" si="8"/>
        <v>1.171875</v>
      </c>
      <c r="V37" s="2" t="s">
        <v>72</v>
      </c>
      <c r="W37" s="2" t="s">
        <v>82</v>
      </c>
      <c r="X37" s="2" t="s">
        <v>78</v>
      </c>
    </row>
    <row r="38" spans="1:24" x14ac:dyDescent="0.25">
      <c r="B38" s="63">
        <v>45909</v>
      </c>
      <c r="C38" s="7">
        <v>413</v>
      </c>
      <c r="D38" s="7">
        <v>73</v>
      </c>
      <c r="E38" s="96" t="s">
        <v>902</v>
      </c>
      <c r="F38" s="7">
        <f t="shared" si="5"/>
        <v>14.6</v>
      </c>
      <c r="G38" s="7">
        <f t="shared" si="7"/>
        <v>0.76842105263157889</v>
      </c>
      <c r="H38" s="9">
        <v>62</v>
      </c>
      <c r="I38" s="126">
        <f t="shared" si="8"/>
        <v>1.1774193548387097</v>
      </c>
      <c r="M38" s="247" t="s">
        <v>994</v>
      </c>
      <c r="N38" s="248"/>
      <c r="O38" s="167"/>
      <c r="P38" s="247" t="s">
        <v>995</v>
      </c>
      <c r="Q38" s="248"/>
      <c r="R38" s="167"/>
      <c r="S38" s="247" t="s">
        <v>996</v>
      </c>
      <c r="T38" s="248"/>
      <c r="V38" s="2" t="s">
        <v>81</v>
      </c>
      <c r="W38" s="2" t="s">
        <v>1171</v>
      </c>
      <c r="X38" s="2" t="s">
        <v>589</v>
      </c>
    </row>
    <row r="39" spans="1:24" x14ac:dyDescent="0.25">
      <c r="B39" s="63">
        <v>45916</v>
      </c>
      <c r="C39" s="7">
        <v>401</v>
      </c>
      <c r="D39" s="7">
        <v>64</v>
      </c>
      <c r="E39" s="96" t="s">
        <v>933</v>
      </c>
      <c r="F39" s="7">
        <f t="shared" si="5"/>
        <v>12.8</v>
      </c>
      <c r="G39" s="7">
        <f t="shared" si="7"/>
        <v>0.67368421052631577</v>
      </c>
      <c r="H39" s="9">
        <v>32</v>
      </c>
      <c r="I39" s="126">
        <f t="shared" si="8"/>
        <v>2</v>
      </c>
      <c r="M39" s="251" t="s">
        <v>997</v>
      </c>
      <c r="N39" s="252"/>
      <c r="O39" s="167"/>
      <c r="P39" s="251" t="s">
        <v>997</v>
      </c>
      <c r="Q39" s="252"/>
      <c r="R39" s="167"/>
      <c r="S39" s="251" t="s">
        <v>997</v>
      </c>
      <c r="T39" s="252"/>
      <c r="V39" s="2" t="s">
        <v>75</v>
      </c>
      <c r="W39" s="2" t="s">
        <v>471</v>
      </c>
      <c r="X39" s="2" t="s">
        <v>78</v>
      </c>
    </row>
    <row r="40" spans="1:24" x14ac:dyDescent="0.25">
      <c r="B40" s="63">
        <v>45923</v>
      </c>
      <c r="C40" s="7">
        <v>394</v>
      </c>
      <c r="D40" s="7">
        <v>97</v>
      </c>
      <c r="E40" s="96" t="s">
        <v>1018</v>
      </c>
      <c r="F40" s="7">
        <f t="shared" si="5"/>
        <v>19.399999999999999</v>
      </c>
      <c r="G40" s="7">
        <f t="shared" si="7"/>
        <v>1.0210526315789472</v>
      </c>
      <c r="H40" s="9">
        <v>45</v>
      </c>
      <c r="I40" s="126">
        <f t="shared" si="8"/>
        <v>2.1555555555555554</v>
      </c>
      <c r="M40" s="168" t="s">
        <v>998</v>
      </c>
      <c r="N40" s="169">
        <v>2</v>
      </c>
      <c r="O40" s="167"/>
      <c r="P40" s="168" t="s">
        <v>999</v>
      </c>
      <c r="Q40" s="169">
        <v>4</v>
      </c>
      <c r="R40" s="167"/>
      <c r="S40" s="168" t="s">
        <v>999</v>
      </c>
      <c r="T40" s="169">
        <v>3</v>
      </c>
      <c r="V40" s="2" t="s">
        <v>1170</v>
      </c>
      <c r="W40" s="2"/>
      <c r="X40" s="2"/>
    </row>
    <row r="41" spans="1:24" x14ac:dyDescent="0.25">
      <c r="B41" s="63">
        <v>45930</v>
      </c>
      <c r="C41" s="7">
        <v>469</v>
      </c>
      <c r="D41" s="7">
        <v>74</v>
      </c>
      <c r="E41" s="96" t="s">
        <v>1072</v>
      </c>
      <c r="F41" s="7">
        <f t="shared" si="5"/>
        <v>14.8</v>
      </c>
      <c r="G41" s="7">
        <f t="shared" si="7"/>
        <v>0.77894736842105272</v>
      </c>
      <c r="H41" s="9">
        <v>60</v>
      </c>
      <c r="I41" s="126">
        <f t="shared" si="8"/>
        <v>1.2333333333333334</v>
      </c>
      <c r="M41" s="168" t="s">
        <v>1000</v>
      </c>
      <c r="N41" s="169">
        <v>6</v>
      </c>
      <c r="O41" s="167"/>
      <c r="P41" s="168" t="s">
        <v>1000</v>
      </c>
      <c r="Q41" s="169">
        <v>3</v>
      </c>
      <c r="R41" s="167"/>
      <c r="S41" s="168" t="s">
        <v>1000</v>
      </c>
      <c r="T41" s="169">
        <v>3</v>
      </c>
    </row>
    <row r="42" spans="1:24" x14ac:dyDescent="0.25">
      <c r="B42" s="63">
        <v>45937</v>
      </c>
      <c r="C42" s="7">
        <v>390</v>
      </c>
      <c r="D42" s="7">
        <v>102</v>
      </c>
      <c r="E42" s="96" t="s">
        <v>1090</v>
      </c>
      <c r="F42" s="7">
        <f t="shared" si="5"/>
        <v>20.399999999999999</v>
      </c>
      <c r="G42" s="7">
        <f t="shared" si="7"/>
        <v>1.0736842105263158</v>
      </c>
      <c r="H42" s="9">
        <v>52</v>
      </c>
      <c r="I42" s="126">
        <f t="shared" si="8"/>
        <v>1.9615384615384615</v>
      </c>
      <c r="M42" s="168" t="s">
        <v>423</v>
      </c>
      <c r="N42" s="169">
        <v>6</v>
      </c>
      <c r="O42" s="167"/>
      <c r="P42" s="168" t="s">
        <v>423</v>
      </c>
      <c r="Q42" s="169">
        <v>3</v>
      </c>
      <c r="R42" s="167"/>
      <c r="S42" s="168" t="s">
        <v>423</v>
      </c>
      <c r="T42" s="169">
        <v>6</v>
      </c>
    </row>
    <row r="43" spans="1:24" x14ac:dyDescent="0.25">
      <c r="A43" t="s">
        <v>1135</v>
      </c>
      <c r="B43" s="63">
        <v>45944</v>
      </c>
      <c r="C43" s="7">
        <v>389</v>
      </c>
      <c r="D43" s="7">
        <v>129</v>
      </c>
      <c r="E43" s="96" t="s">
        <v>1125</v>
      </c>
      <c r="F43" s="7">
        <f t="shared" si="5"/>
        <v>25.8</v>
      </c>
      <c r="G43" s="7">
        <f t="shared" si="7"/>
        <v>1.3578947368421053</v>
      </c>
      <c r="H43" s="9">
        <v>65</v>
      </c>
      <c r="I43" s="126">
        <f t="shared" si="8"/>
        <v>1.9846153846153847</v>
      </c>
      <c r="M43" s="168" t="s">
        <v>515</v>
      </c>
      <c r="N43" s="169">
        <v>3</v>
      </c>
      <c r="O43" s="167"/>
      <c r="P43" s="168" t="s">
        <v>424</v>
      </c>
      <c r="Q43" s="169">
        <v>3</v>
      </c>
      <c r="R43" s="167"/>
      <c r="S43" s="168" t="s">
        <v>424</v>
      </c>
      <c r="T43" s="169">
        <v>3</v>
      </c>
    </row>
    <row r="44" spans="1:24" x14ac:dyDescent="0.25">
      <c r="B44" s="63">
        <v>45951</v>
      </c>
      <c r="C44" s="7">
        <v>425</v>
      </c>
      <c r="D44" s="7">
        <v>110</v>
      </c>
      <c r="E44" s="96" t="s">
        <v>1134</v>
      </c>
      <c r="F44" s="7">
        <f t="shared" si="5"/>
        <v>22</v>
      </c>
      <c r="G44" s="7">
        <f t="shared" si="7"/>
        <v>1.1578947368421053</v>
      </c>
      <c r="H44" s="9">
        <v>47</v>
      </c>
      <c r="I44" s="126">
        <f t="shared" si="8"/>
        <v>2.3404255319148937</v>
      </c>
      <c r="M44" s="168" t="s">
        <v>406</v>
      </c>
      <c r="N44" s="169">
        <v>7</v>
      </c>
      <c r="O44" s="167"/>
      <c r="P44" s="168" t="s">
        <v>516</v>
      </c>
      <c r="Q44" s="169">
        <v>2</v>
      </c>
      <c r="R44" s="167"/>
      <c r="S44" s="168" t="s">
        <v>588</v>
      </c>
      <c r="T44" s="169">
        <v>2</v>
      </c>
    </row>
    <row r="45" spans="1:24" x14ac:dyDescent="0.25">
      <c r="B45" s="226">
        <v>45958</v>
      </c>
      <c r="C45" s="7">
        <v>500</v>
      </c>
      <c r="D45" s="7">
        <v>72</v>
      </c>
      <c r="E45" s="96" t="s">
        <v>1144</v>
      </c>
      <c r="F45" s="7">
        <f t="shared" si="5"/>
        <v>14.4</v>
      </c>
      <c r="G45" s="7">
        <f>F45/19</f>
        <v>0.75789473684210529</v>
      </c>
      <c r="H45" s="9">
        <v>46</v>
      </c>
      <c r="I45" s="126">
        <f t="shared" si="8"/>
        <v>1.5652173913043479</v>
      </c>
      <c r="M45" s="168" t="s">
        <v>1001</v>
      </c>
      <c r="N45" s="169">
        <v>1</v>
      </c>
      <c r="O45" s="167"/>
      <c r="P45" s="168" t="s">
        <v>515</v>
      </c>
      <c r="Q45" s="169">
        <v>3</v>
      </c>
      <c r="R45" s="167"/>
      <c r="S45" s="168" t="s">
        <v>516</v>
      </c>
      <c r="T45" s="169">
        <v>8</v>
      </c>
    </row>
    <row r="46" spans="1:24" x14ac:dyDescent="0.25">
      <c r="B46" s="226">
        <v>45965</v>
      </c>
      <c r="C46" s="7">
        <v>521</v>
      </c>
      <c r="D46" s="7">
        <v>60</v>
      </c>
      <c r="E46" s="96" t="s">
        <v>1162</v>
      </c>
      <c r="F46" s="7">
        <f t="shared" si="5"/>
        <v>12</v>
      </c>
      <c r="G46" s="7">
        <f>F46/18</f>
        <v>0.66666666666666663</v>
      </c>
      <c r="H46" s="9">
        <v>33</v>
      </c>
      <c r="I46" s="126">
        <f t="shared" si="8"/>
        <v>1.8181818181818181</v>
      </c>
      <c r="M46" s="168" t="s">
        <v>1002</v>
      </c>
      <c r="N46" s="169">
        <v>3</v>
      </c>
      <c r="O46" s="167"/>
      <c r="P46" s="168" t="s">
        <v>1003</v>
      </c>
      <c r="Q46" s="169">
        <v>2</v>
      </c>
      <c r="R46" s="167"/>
      <c r="S46" s="168" t="s">
        <v>1004</v>
      </c>
      <c r="T46" s="169">
        <v>4</v>
      </c>
    </row>
    <row r="47" spans="1:24" x14ac:dyDescent="0.25">
      <c r="B47" s="226">
        <v>45972</v>
      </c>
      <c r="C47" s="7">
        <v>624</v>
      </c>
      <c r="D47" s="7">
        <v>55</v>
      </c>
      <c r="E47" s="96" t="s">
        <v>1178</v>
      </c>
      <c r="F47" s="7">
        <f t="shared" si="5"/>
        <v>11</v>
      </c>
      <c r="G47" s="7">
        <f t="shared" ref="G47:G49" si="9">F47/18</f>
        <v>0.61111111111111116</v>
      </c>
      <c r="H47" s="9">
        <v>57</v>
      </c>
      <c r="I47" s="126">
        <f t="shared" si="8"/>
        <v>0.96491228070175439</v>
      </c>
      <c r="J47" t="s">
        <v>1181</v>
      </c>
      <c r="M47" s="168" t="s">
        <v>1005</v>
      </c>
      <c r="N47" s="169">
        <v>2</v>
      </c>
      <c r="O47" s="167"/>
      <c r="P47" s="168" t="s">
        <v>1004</v>
      </c>
      <c r="Q47" s="169">
        <v>4</v>
      </c>
      <c r="R47" s="167"/>
      <c r="S47" s="170" t="s">
        <v>15</v>
      </c>
      <c r="T47" s="171">
        <v>29</v>
      </c>
    </row>
    <row r="48" spans="1:24" ht="15.75" thickBot="1" x14ac:dyDescent="0.3">
      <c r="B48" s="63">
        <v>45979</v>
      </c>
      <c r="C48" s="7">
        <v>480</v>
      </c>
      <c r="D48" s="7">
        <v>65</v>
      </c>
      <c r="E48" s="96" t="s">
        <v>1187</v>
      </c>
      <c r="F48" s="7">
        <f t="shared" si="5"/>
        <v>13</v>
      </c>
      <c r="G48" s="7">
        <f t="shared" si="9"/>
        <v>0.72222222222222221</v>
      </c>
      <c r="H48" s="9">
        <v>62</v>
      </c>
      <c r="I48" s="126">
        <f t="shared" si="8"/>
        <v>1.0483870967741935</v>
      </c>
      <c r="M48" s="170" t="s">
        <v>15</v>
      </c>
      <c r="N48" s="171">
        <v>30</v>
      </c>
      <c r="O48" s="167"/>
      <c r="P48" s="170" t="s">
        <v>15</v>
      </c>
      <c r="Q48" s="171">
        <v>24</v>
      </c>
      <c r="R48" s="167"/>
      <c r="S48" s="172" t="s">
        <v>1006</v>
      </c>
      <c r="T48" s="173">
        <v>4.1500000000000004</v>
      </c>
    </row>
    <row r="49" spans="2:20" ht="15.75" thickBot="1" x14ac:dyDescent="0.3">
      <c r="B49" s="63">
        <v>45986</v>
      </c>
      <c r="C49" s="7">
        <v>475</v>
      </c>
      <c r="D49" s="7">
        <v>83</v>
      </c>
      <c r="E49" s="96" t="s">
        <v>1192</v>
      </c>
      <c r="F49" s="7">
        <f t="shared" si="5"/>
        <v>16.600000000000001</v>
      </c>
      <c r="G49" s="7">
        <f t="shared" si="9"/>
        <v>0.92222222222222228</v>
      </c>
      <c r="H49" s="9">
        <v>30</v>
      </c>
      <c r="I49" s="126">
        <f t="shared" si="8"/>
        <v>2.7666666666666666</v>
      </c>
      <c r="M49" s="172" t="s">
        <v>1007</v>
      </c>
      <c r="N49" s="173">
        <v>3.75</v>
      </c>
      <c r="O49" s="167"/>
      <c r="P49" s="172" t="s">
        <v>1007</v>
      </c>
      <c r="Q49" s="173">
        <v>3</v>
      </c>
      <c r="R49" s="167"/>
      <c r="S49" s="167"/>
      <c r="T49" s="167"/>
    </row>
    <row r="50" spans="2:20" x14ac:dyDescent="0.25">
      <c r="B50" s="63">
        <v>45993</v>
      </c>
      <c r="C50" s="7">
        <v>450</v>
      </c>
      <c r="D50" s="7">
        <v>64</v>
      </c>
      <c r="E50" s="96" t="s">
        <v>1210</v>
      </c>
      <c r="F50" s="7">
        <f t="shared" si="5"/>
        <v>12.8</v>
      </c>
      <c r="G50" s="7">
        <f>F50/16</f>
        <v>0.8</v>
      </c>
      <c r="H50" s="9">
        <v>28</v>
      </c>
      <c r="I50" s="126">
        <f t="shared" si="8"/>
        <v>2.2857142857142856</v>
      </c>
      <c r="M50" s="174"/>
      <c r="N50" s="259"/>
      <c r="O50" s="259"/>
      <c r="P50" s="167"/>
      <c r="Q50" s="258"/>
      <c r="R50" s="258"/>
      <c r="S50" s="167"/>
      <c r="T50" s="167"/>
    </row>
    <row r="51" spans="2:20" ht="15.75" thickBot="1" x14ac:dyDescent="0.3">
      <c r="B51" s="63">
        <v>46000</v>
      </c>
      <c r="C51" s="7">
        <v>468</v>
      </c>
      <c r="D51" s="7">
        <v>61</v>
      </c>
      <c r="E51" s="96" t="s">
        <v>1214</v>
      </c>
      <c r="F51" s="7">
        <f t="shared" si="5"/>
        <v>12.2</v>
      </c>
      <c r="G51" s="7">
        <f t="shared" ref="G51:G54" si="10">F51/16</f>
        <v>0.76249999999999996</v>
      </c>
      <c r="H51" s="9">
        <v>26</v>
      </c>
      <c r="I51" s="126">
        <f t="shared" si="8"/>
        <v>2.3461538461538463</v>
      </c>
      <c r="M51" s="174"/>
      <c r="N51" s="259"/>
      <c r="O51" s="259"/>
      <c r="P51" s="167"/>
      <c r="Q51" s="258"/>
      <c r="R51" s="258"/>
      <c r="S51" s="167"/>
      <c r="T51" s="167"/>
    </row>
    <row r="52" spans="2:20" x14ac:dyDescent="0.25">
      <c r="B52" s="63">
        <v>46007</v>
      </c>
      <c r="C52" s="7">
        <v>415</v>
      </c>
      <c r="D52" s="7">
        <v>80</v>
      </c>
      <c r="E52" s="96" t="s">
        <v>1237</v>
      </c>
      <c r="F52" s="7">
        <f t="shared" si="5"/>
        <v>16</v>
      </c>
      <c r="G52" s="7">
        <f>F52/14</f>
        <v>1.1428571428571428</v>
      </c>
      <c r="H52" s="9">
        <v>24</v>
      </c>
      <c r="I52" s="126">
        <f t="shared" si="8"/>
        <v>3.3333333333333335</v>
      </c>
      <c r="M52" s="247" t="s">
        <v>1008</v>
      </c>
      <c r="N52" s="248"/>
      <c r="O52" s="167"/>
      <c r="P52" s="247" t="s">
        <v>1009</v>
      </c>
      <c r="Q52" s="248"/>
      <c r="R52" s="167"/>
      <c r="S52" s="247" t="s">
        <v>1010</v>
      </c>
      <c r="T52" s="248"/>
    </row>
    <row r="53" spans="2:20" x14ac:dyDescent="0.25">
      <c r="B53" s="63">
        <v>46014</v>
      </c>
      <c r="C53" s="7">
        <v>415</v>
      </c>
      <c r="D53" s="7">
        <v>39</v>
      </c>
      <c r="E53" s="96" t="s">
        <v>1251</v>
      </c>
      <c r="F53" s="7">
        <f t="shared" si="5"/>
        <v>7.8</v>
      </c>
      <c r="G53" s="7">
        <f>F53/14</f>
        <v>0.55714285714285716</v>
      </c>
      <c r="H53" s="9">
        <v>40</v>
      </c>
      <c r="I53" s="126">
        <f t="shared" si="8"/>
        <v>0.97499999999999998</v>
      </c>
      <c r="M53" s="251" t="s">
        <v>997</v>
      </c>
      <c r="N53" s="252"/>
      <c r="O53" s="167"/>
      <c r="P53" s="251" t="s">
        <v>997</v>
      </c>
      <c r="Q53" s="252"/>
      <c r="R53" s="167"/>
      <c r="S53" s="251" t="s">
        <v>997</v>
      </c>
      <c r="T53" s="252"/>
    </row>
    <row r="54" spans="2:20" x14ac:dyDescent="0.25">
      <c r="B54" s="63">
        <v>46021</v>
      </c>
      <c r="C54" s="7">
        <v>421</v>
      </c>
      <c r="D54" s="7">
        <v>56</v>
      </c>
      <c r="E54" s="96" t="s">
        <v>291</v>
      </c>
      <c r="F54" s="7">
        <f t="shared" si="5"/>
        <v>11.2</v>
      </c>
      <c r="G54" s="7">
        <f t="shared" si="10"/>
        <v>0.7</v>
      </c>
      <c r="H54" s="9">
        <v>22</v>
      </c>
      <c r="I54" s="126">
        <f t="shared" si="8"/>
        <v>2.5454545454545454</v>
      </c>
      <c r="M54" s="168" t="s">
        <v>999</v>
      </c>
      <c r="N54" s="169">
        <v>3</v>
      </c>
      <c r="O54" s="167"/>
      <c r="P54" s="168" t="s">
        <v>999</v>
      </c>
      <c r="Q54" s="169">
        <v>4</v>
      </c>
      <c r="R54" s="167"/>
      <c r="S54" s="168" t="s">
        <v>999</v>
      </c>
      <c r="T54" s="169">
        <v>9</v>
      </c>
    </row>
    <row r="55" spans="2:20" x14ac:dyDescent="0.25">
      <c r="M55" s="168" t="s">
        <v>1000</v>
      </c>
      <c r="N55" s="169">
        <v>3</v>
      </c>
      <c r="O55" s="167"/>
      <c r="P55" s="168" t="s">
        <v>1000</v>
      </c>
      <c r="Q55" s="169">
        <v>1</v>
      </c>
      <c r="R55" s="167"/>
      <c r="S55" s="168" t="s">
        <v>1000</v>
      </c>
      <c r="T55" s="169">
        <v>4</v>
      </c>
    </row>
    <row r="56" spans="2:20" x14ac:dyDescent="0.25">
      <c r="M56" s="168" t="s">
        <v>423</v>
      </c>
      <c r="N56" s="169">
        <v>5</v>
      </c>
      <c r="O56" s="167"/>
      <c r="P56" s="168" t="s">
        <v>423</v>
      </c>
      <c r="Q56" s="169">
        <v>4</v>
      </c>
      <c r="R56" s="167"/>
      <c r="S56" s="168" t="s">
        <v>423</v>
      </c>
      <c r="T56" s="169">
        <v>5</v>
      </c>
    </row>
    <row r="57" spans="2:20" x14ac:dyDescent="0.25">
      <c r="M57" s="168" t="s">
        <v>406</v>
      </c>
      <c r="N57" s="169">
        <v>6</v>
      </c>
      <c r="O57" s="167"/>
      <c r="P57" s="168" t="s">
        <v>424</v>
      </c>
      <c r="Q57" s="169">
        <v>3</v>
      </c>
      <c r="R57" s="167"/>
      <c r="S57" s="168" t="s">
        <v>424</v>
      </c>
      <c r="T57" s="169">
        <v>7</v>
      </c>
    </row>
    <row r="58" spans="2:20" x14ac:dyDescent="0.25">
      <c r="M58" s="168" t="s">
        <v>1011</v>
      </c>
      <c r="N58" s="169">
        <v>1</v>
      </c>
      <c r="O58" s="167"/>
      <c r="P58" s="168" t="s">
        <v>588</v>
      </c>
      <c r="Q58" s="169">
        <v>1</v>
      </c>
      <c r="R58" s="167"/>
      <c r="S58" s="168" t="s">
        <v>588</v>
      </c>
      <c r="T58" s="169">
        <v>4</v>
      </c>
    </row>
    <row r="59" spans="2:20" x14ac:dyDescent="0.25">
      <c r="M59" s="168" t="s">
        <v>516</v>
      </c>
      <c r="N59" s="169">
        <v>3</v>
      </c>
      <c r="O59" s="167"/>
      <c r="P59" s="168" t="s">
        <v>516</v>
      </c>
      <c r="Q59" s="169">
        <v>2</v>
      </c>
      <c r="R59" s="167"/>
      <c r="S59" s="168" t="s">
        <v>516</v>
      </c>
      <c r="T59" s="169">
        <v>4</v>
      </c>
    </row>
    <row r="60" spans="2:20" x14ac:dyDescent="0.25">
      <c r="M60" s="168" t="s">
        <v>1012</v>
      </c>
      <c r="N60" s="169">
        <v>1</v>
      </c>
      <c r="O60" s="167"/>
      <c r="P60" s="168" t="s">
        <v>1013</v>
      </c>
      <c r="Q60" s="169">
        <v>2</v>
      </c>
      <c r="R60" s="167"/>
      <c r="S60" s="168" t="s">
        <v>1004</v>
      </c>
      <c r="T60" s="169">
        <v>5</v>
      </c>
    </row>
    <row r="61" spans="2:20" x14ac:dyDescent="0.25">
      <c r="M61" s="168" t="s">
        <v>515</v>
      </c>
      <c r="N61" s="169">
        <v>5</v>
      </c>
      <c r="O61" s="167"/>
      <c r="P61" s="168" t="s">
        <v>1004</v>
      </c>
      <c r="Q61" s="169">
        <v>3</v>
      </c>
      <c r="R61" s="167"/>
      <c r="S61" s="170" t="s">
        <v>15</v>
      </c>
      <c r="T61" s="171">
        <v>38</v>
      </c>
    </row>
    <row r="62" spans="2:20" ht="15.75" thickBot="1" x14ac:dyDescent="0.3">
      <c r="M62" s="170" t="s">
        <v>15</v>
      </c>
      <c r="N62" s="171">
        <v>27</v>
      </c>
      <c r="O62" s="167"/>
      <c r="P62" s="170" t="s">
        <v>15</v>
      </c>
      <c r="Q62" s="171">
        <v>20</v>
      </c>
      <c r="R62" s="167"/>
      <c r="S62" s="172" t="s">
        <v>1007</v>
      </c>
      <c r="T62" s="173">
        <v>5.5</v>
      </c>
    </row>
    <row r="63" spans="2:20" ht="15.75" thickBot="1" x14ac:dyDescent="0.3">
      <c r="M63" s="172" t="s">
        <v>1007</v>
      </c>
      <c r="N63" s="173">
        <v>3.5</v>
      </c>
      <c r="O63" s="167"/>
      <c r="P63" s="172" t="s">
        <v>1007</v>
      </c>
      <c r="Q63" s="173">
        <v>3</v>
      </c>
      <c r="R63" s="167"/>
      <c r="S63" s="167"/>
      <c r="T63" s="167"/>
    </row>
    <row r="64" spans="2:20" x14ac:dyDescent="0.25">
      <c r="M64" s="167"/>
      <c r="N64" s="258"/>
      <c r="O64" s="258"/>
      <c r="P64" s="167"/>
      <c r="Q64" s="258"/>
      <c r="R64" s="258"/>
      <c r="S64" s="167"/>
      <c r="T64" s="167"/>
    </row>
    <row r="65" spans="13:20" ht="15.75" thickBot="1" x14ac:dyDescent="0.3">
      <c r="M65" s="167"/>
      <c r="N65" s="258"/>
      <c r="O65" s="258"/>
      <c r="P65" s="167"/>
      <c r="Q65" s="258"/>
      <c r="R65" s="258"/>
      <c r="S65" s="167"/>
      <c r="T65" s="167"/>
    </row>
    <row r="66" spans="13:20" x14ac:dyDescent="0.25">
      <c r="M66" s="247" t="s">
        <v>1014</v>
      </c>
      <c r="N66" s="248"/>
      <c r="O66" s="167"/>
      <c r="P66" s="247" t="s">
        <v>1015</v>
      </c>
      <c r="Q66" s="248"/>
      <c r="R66" s="167"/>
      <c r="S66" s="247" t="s">
        <v>1016</v>
      </c>
      <c r="T66" s="248"/>
    </row>
    <row r="67" spans="13:20" x14ac:dyDescent="0.25">
      <c r="M67" s="251" t="s">
        <v>997</v>
      </c>
      <c r="N67" s="252"/>
      <c r="O67" s="167"/>
      <c r="P67" s="251" t="s">
        <v>997</v>
      </c>
      <c r="Q67" s="252"/>
      <c r="R67" s="167"/>
      <c r="S67" s="251" t="s">
        <v>997</v>
      </c>
      <c r="T67" s="252"/>
    </row>
    <row r="68" spans="13:20" x14ac:dyDescent="0.25">
      <c r="M68" s="168" t="s">
        <v>999</v>
      </c>
      <c r="N68" s="169">
        <v>3</v>
      </c>
      <c r="O68" s="167"/>
      <c r="P68" s="168" t="s">
        <v>999</v>
      </c>
      <c r="Q68" s="169">
        <v>1</v>
      </c>
      <c r="R68" s="167"/>
      <c r="S68" s="168" t="s">
        <v>999</v>
      </c>
      <c r="T68" s="169"/>
    </row>
    <row r="69" spans="13:20" x14ac:dyDescent="0.25">
      <c r="M69" s="168" t="s">
        <v>1000</v>
      </c>
      <c r="N69" s="169">
        <v>3</v>
      </c>
      <c r="O69" s="167"/>
      <c r="P69" s="168" t="s">
        <v>1000</v>
      </c>
      <c r="Q69" s="169">
        <v>2</v>
      </c>
      <c r="R69" s="167"/>
      <c r="S69" s="168" t="s">
        <v>1000</v>
      </c>
      <c r="T69" s="169"/>
    </row>
    <row r="70" spans="13:20" x14ac:dyDescent="0.25">
      <c r="M70" s="168" t="s">
        <v>423</v>
      </c>
      <c r="N70" s="169">
        <v>6</v>
      </c>
      <c r="O70" s="167"/>
      <c r="P70" s="168" t="s">
        <v>423</v>
      </c>
      <c r="Q70" s="169">
        <v>3</v>
      </c>
      <c r="R70" s="167"/>
      <c r="S70" s="168" t="s">
        <v>423</v>
      </c>
      <c r="T70" s="169"/>
    </row>
    <row r="71" spans="13:20" x14ac:dyDescent="0.25">
      <c r="M71" s="168" t="s">
        <v>516</v>
      </c>
      <c r="N71" s="169">
        <v>1</v>
      </c>
      <c r="O71" s="167"/>
      <c r="P71" s="168" t="s">
        <v>424</v>
      </c>
      <c r="Q71" s="169">
        <v>5</v>
      </c>
      <c r="R71" s="167"/>
      <c r="S71" s="168" t="s">
        <v>424</v>
      </c>
      <c r="T71" s="169"/>
    </row>
    <row r="72" spans="13:20" x14ac:dyDescent="0.25">
      <c r="M72" s="168" t="s">
        <v>1004</v>
      </c>
      <c r="N72" s="169">
        <v>1</v>
      </c>
      <c r="O72" s="167"/>
      <c r="P72" s="168" t="s">
        <v>588</v>
      </c>
      <c r="Q72" s="169">
        <v>2</v>
      </c>
      <c r="R72" s="167"/>
      <c r="S72" s="168" t="s">
        <v>588</v>
      </c>
      <c r="T72" s="169"/>
    </row>
    <row r="73" spans="13:20" x14ac:dyDescent="0.25">
      <c r="M73" s="168" t="s">
        <v>515</v>
      </c>
      <c r="N73" s="169">
        <v>4</v>
      </c>
      <c r="O73" s="167"/>
      <c r="P73" s="168" t="s">
        <v>516</v>
      </c>
      <c r="Q73" s="169">
        <v>3</v>
      </c>
      <c r="R73" s="167"/>
      <c r="S73" s="168" t="s">
        <v>516</v>
      </c>
      <c r="T73" s="169"/>
    </row>
    <row r="74" spans="13:20" x14ac:dyDescent="0.25">
      <c r="M74" s="168" t="s">
        <v>1011</v>
      </c>
      <c r="N74" s="169">
        <v>1</v>
      </c>
      <c r="O74" s="167"/>
      <c r="P74" s="168" t="s">
        <v>1004</v>
      </c>
      <c r="Q74" s="169">
        <v>6</v>
      </c>
      <c r="R74" s="167"/>
      <c r="S74" s="168" t="s">
        <v>1004</v>
      </c>
      <c r="T74" s="169"/>
    </row>
    <row r="75" spans="13:20" x14ac:dyDescent="0.25">
      <c r="M75" s="168" t="s">
        <v>406</v>
      </c>
      <c r="N75" s="169">
        <v>3</v>
      </c>
      <c r="O75" s="167"/>
      <c r="P75" s="170" t="s">
        <v>15</v>
      </c>
      <c r="Q75" s="171">
        <v>22</v>
      </c>
      <c r="R75" s="167"/>
      <c r="S75" s="170" t="s">
        <v>15</v>
      </c>
      <c r="T75" s="171"/>
    </row>
    <row r="76" spans="13:20" ht="15.75" thickBot="1" x14ac:dyDescent="0.3">
      <c r="M76" s="170" t="s">
        <v>1</v>
      </c>
      <c r="N76" s="171">
        <v>22</v>
      </c>
      <c r="O76" s="167"/>
      <c r="P76" s="172" t="s">
        <v>1007</v>
      </c>
      <c r="Q76" s="173">
        <v>3.15</v>
      </c>
      <c r="R76" s="167"/>
      <c r="S76" s="172" t="s">
        <v>1007</v>
      </c>
      <c r="T76" s="173"/>
    </row>
    <row r="77" spans="13:20" ht="15.75" thickBot="1" x14ac:dyDescent="0.3">
      <c r="M77" s="172" t="s">
        <v>1007</v>
      </c>
      <c r="N77" s="173">
        <v>2.75</v>
      </c>
      <c r="O77" s="167"/>
      <c r="P77" s="167"/>
      <c r="Q77" s="258"/>
      <c r="R77" s="258"/>
      <c r="S77" s="167"/>
      <c r="T77" s="167"/>
    </row>
    <row r="78" spans="13:20" ht="15.75" thickBot="1" x14ac:dyDescent="0.3"/>
    <row r="79" spans="13:20" x14ac:dyDescent="0.25">
      <c r="M79" s="255" t="s">
        <v>994</v>
      </c>
      <c r="N79" s="256"/>
      <c r="O79" s="81"/>
      <c r="P79" s="247" t="s">
        <v>1008</v>
      </c>
      <c r="Q79" s="248"/>
      <c r="R79" s="81"/>
      <c r="S79" s="255" t="s">
        <v>1014</v>
      </c>
      <c r="T79" s="256"/>
    </row>
    <row r="80" spans="13:20" x14ac:dyDescent="0.25">
      <c r="M80" s="253" t="s">
        <v>997</v>
      </c>
      <c r="N80" s="254"/>
      <c r="O80" s="81"/>
      <c r="P80" s="251" t="s">
        <v>997</v>
      </c>
      <c r="Q80" s="252"/>
      <c r="R80" s="81"/>
      <c r="S80" s="253" t="s">
        <v>997</v>
      </c>
      <c r="T80" s="254"/>
    </row>
    <row r="81" spans="13:20" x14ac:dyDescent="0.25">
      <c r="M81" s="175" t="s">
        <v>998</v>
      </c>
      <c r="N81" s="176">
        <v>2</v>
      </c>
      <c r="O81" s="81"/>
      <c r="P81" s="168" t="s">
        <v>999</v>
      </c>
      <c r="Q81" s="169">
        <v>3</v>
      </c>
      <c r="R81" s="81"/>
      <c r="S81" s="175" t="s">
        <v>999</v>
      </c>
      <c r="T81" s="176">
        <v>3</v>
      </c>
    </row>
    <row r="82" spans="13:20" x14ac:dyDescent="0.25">
      <c r="M82" s="175" t="s">
        <v>1000</v>
      </c>
      <c r="N82" s="176">
        <v>6</v>
      </c>
      <c r="O82" s="81"/>
      <c r="P82" s="168" t="s">
        <v>1000</v>
      </c>
      <c r="Q82" s="169">
        <v>3</v>
      </c>
      <c r="R82" s="81"/>
      <c r="S82" s="175" t="s">
        <v>1000</v>
      </c>
      <c r="T82" s="176">
        <v>3</v>
      </c>
    </row>
    <row r="83" spans="13:20" x14ac:dyDescent="0.25">
      <c r="M83" s="175" t="s">
        <v>423</v>
      </c>
      <c r="N83" s="176">
        <v>6</v>
      </c>
      <c r="O83" s="81"/>
      <c r="P83" s="168" t="s">
        <v>423</v>
      </c>
      <c r="Q83" s="169">
        <v>5</v>
      </c>
      <c r="R83" s="81"/>
      <c r="S83" s="175" t="s">
        <v>423</v>
      </c>
      <c r="T83" s="176">
        <v>6</v>
      </c>
    </row>
    <row r="84" spans="13:20" x14ac:dyDescent="0.25">
      <c r="M84" s="175" t="s">
        <v>515</v>
      </c>
      <c r="N84" s="176">
        <v>3</v>
      </c>
      <c r="O84" s="81"/>
      <c r="P84" s="168" t="s">
        <v>406</v>
      </c>
      <c r="Q84" s="169">
        <v>6</v>
      </c>
      <c r="R84" s="81"/>
      <c r="S84" s="175" t="s">
        <v>516</v>
      </c>
      <c r="T84" s="176">
        <v>1</v>
      </c>
    </row>
    <row r="85" spans="13:20" x14ac:dyDescent="0.25">
      <c r="M85" s="175" t="s">
        <v>406</v>
      </c>
      <c r="N85" s="176">
        <v>7</v>
      </c>
      <c r="O85" s="81"/>
      <c r="P85" s="168" t="s">
        <v>1011</v>
      </c>
      <c r="Q85" s="169">
        <v>1</v>
      </c>
      <c r="R85" s="81"/>
      <c r="S85" s="175" t="s">
        <v>1004</v>
      </c>
      <c r="T85" s="176">
        <v>1</v>
      </c>
    </row>
    <row r="86" spans="13:20" x14ac:dyDescent="0.25">
      <c r="M86" s="175" t="s">
        <v>1001</v>
      </c>
      <c r="N86" s="176">
        <v>1</v>
      </c>
      <c r="O86" s="81"/>
      <c r="P86" s="168" t="s">
        <v>516</v>
      </c>
      <c r="Q86" s="169">
        <v>3</v>
      </c>
      <c r="R86" s="81"/>
      <c r="S86" s="175" t="s">
        <v>515</v>
      </c>
      <c r="T86" s="176">
        <v>4</v>
      </c>
    </row>
    <row r="87" spans="13:20" x14ac:dyDescent="0.25">
      <c r="M87" s="175" t="s">
        <v>1002</v>
      </c>
      <c r="N87" s="176">
        <v>3</v>
      </c>
      <c r="O87" s="81"/>
      <c r="P87" s="168" t="s">
        <v>1012</v>
      </c>
      <c r="Q87" s="169">
        <v>1</v>
      </c>
      <c r="R87" s="81"/>
      <c r="S87" s="175" t="s">
        <v>1011</v>
      </c>
      <c r="T87" s="176">
        <v>1</v>
      </c>
    </row>
    <row r="88" spans="13:20" x14ac:dyDescent="0.25">
      <c r="M88" s="175" t="s">
        <v>1005</v>
      </c>
      <c r="N88" s="176">
        <v>2</v>
      </c>
      <c r="O88" s="81"/>
      <c r="P88" s="168" t="s">
        <v>515</v>
      </c>
      <c r="Q88" s="169">
        <v>5</v>
      </c>
      <c r="R88" s="81"/>
      <c r="S88" s="175" t="s">
        <v>406</v>
      </c>
      <c r="T88" s="176">
        <v>3</v>
      </c>
    </row>
    <row r="89" spans="13:20" x14ac:dyDescent="0.25">
      <c r="M89" s="177" t="s">
        <v>15</v>
      </c>
      <c r="N89" s="178">
        <v>30</v>
      </c>
      <c r="O89" s="81"/>
      <c r="P89" s="170" t="s">
        <v>15</v>
      </c>
      <c r="Q89" s="171">
        <v>27</v>
      </c>
      <c r="R89" s="81"/>
      <c r="S89" s="177" t="s">
        <v>1</v>
      </c>
      <c r="T89" s="178">
        <v>22</v>
      </c>
    </row>
    <row r="90" spans="13:20" ht="15.75" thickBot="1" x14ac:dyDescent="0.3">
      <c r="M90" s="179" t="s">
        <v>1007</v>
      </c>
      <c r="N90" s="180">
        <v>3.75</v>
      </c>
      <c r="O90" s="81"/>
      <c r="P90" s="172" t="s">
        <v>1007</v>
      </c>
      <c r="Q90" s="173">
        <v>3.5</v>
      </c>
      <c r="R90" s="81"/>
      <c r="S90" s="179" t="s">
        <v>1007</v>
      </c>
      <c r="T90" s="180">
        <v>2.75</v>
      </c>
    </row>
    <row r="91" spans="13:20" x14ac:dyDescent="0.25">
      <c r="M91" s="81"/>
      <c r="N91" s="257"/>
      <c r="O91" s="257"/>
      <c r="P91" s="81"/>
      <c r="Q91" s="257"/>
      <c r="R91" s="257"/>
      <c r="S91" s="81"/>
      <c r="T91" s="81"/>
    </row>
    <row r="92" spans="13:20" ht="15.75" thickBot="1" x14ac:dyDescent="0.3">
      <c r="M92" s="81"/>
      <c r="N92" s="257"/>
      <c r="O92" s="257"/>
      <c r="P92" s="81"/>
      <c r="Q92" s="257"/>
      <c r="R92" s="257"/>
      <c r="S92" s="81"/>
      <c r="T92" s="81"/>
    </row>
    <row r="93" spans="13:20" x14ac:dyDescent="0.25">
      <c r="M93" s="247" t="s">
        <v>995</v>
      </c>
      <c r="N93" s="248"/>
      <c r="O93" s="81"/>
      <c r="P93" s="255" t="s">
        <v>1009</v>
      </c>
      <c r="Q93" s="256"/>
      <c r="R93" s="81"/>
      <c r="S93" s="255" t="s">
        <v>1015</v>
      </c>
      <c r="T93" s="256"/>
    </row>
    <row r="94" spans="13:20" x14ac:dyDescent="0.25">
      <c r="M94" s="251" t="s">
        <v>997</v>
      </c>
      <c r="N94" s="252"/>
      <c r="O94" s="81"/>
      <c r="P94" s="253" t="s">
        <v>997</v>
      </c>
      <c r="Q94" s="254"/>
      <c r="R94" s="81"/>
      <c r="S94" s="253" t="s">
        <v>997</v>
      </c>
      <c r="T94" s="254"/>
    </row>
    <row r="95" spans="13:20" x14ac:dyDescent="0.25">
      <c r="M95" s="168" t="s">
        <v>999</v>
      </c>
      <c r="N95" s="169">
        <v>4</v>
      </c>
      <c r="O95" s="81"/>
      <c r="P95" s="175" t="s">
        <v>999</v>
      </c>
      <c r="Q95" s="176">
        <v>4</v>
      </c>
      <c r="R95" s="81"/>
      <c r="S95" s="175" t="s">
        <v>999</v>
      </c>
      <c r="T95" s="176">
        <v>1</v>
      </c>
    </row>
    <row r="96" spans="13:20" x14ac:dyDescent="0.25">
      <c r="M96" s="168" t="s">
        <v>1000</v>
      </c>
      <c r="N96" s="169">
        <v>3</v>
      </c>
      <c r="O96" s="81"/>
      <c r="P96" s="175" t="s">
        <v>1000</v>
      </c>
      <c r="Q96" s="176">
        <v>1</v>
      </c>
      <c r="R96" s="81"/>
      <c r="S96" s="175" t="s">
        <v>1000</v>
      </c>
      <c r="T96" s="176">
        <v>2</v>
      </c>
    </row>
    <row r="97" spans="13:20" x14ac:dyDescent="0.25">
      <c r="M97" s="168" t="s">
        <v>423</v>
      </c>
      <c r="N97" s="169">
        <v>3</v>
      </c>
      <c r="O97" s="81"/>
      <c r="P97" s="175" t="s">
        <v>423</v>
      </c>
      <c r="Q97" s="176">
        <v>4</v>
      </c>
      <c r="R97" s="81"/>
      <c r="S97" s="175" t="s">
        <v>423</v>
      </c>
      <c r="T97" s="176">
        <v>3</v>
      </c>
    </row>
    <row r="98" spans="13:20" x14ac:dyDescent="0.25">
      <c r="M98" s="168" t="s">
        <v>424</v>
      </c>
      <c r="N98" s="169">
        <v>3</v>
      </c>
      <c r="O98" s="81"/>
      <c r="P98" s="175" t="s">
        <v>424</v>
      </c>
      <c r="Q98" s="176">
        <v>3</v>
      </c>
      <c r="R98" s="81"/>
      <c r="S98" s="175" t="s">
        <v>424</v>
      </c>
      <c r="T98" s="176">
        <v>5</v>
      </c>
    </row>
    <row r="99" spans="13:20" x14ac:dyDescent="0.25">
      <c r="M99" s="168" t="s">
        <v>516</v>
      </c>
      <c r="N99" s="169">
        <v>2</v>
      </c>
      <c r="O99" s="81"/>
      <c r="P99" s="175" t="s">
        <v>588</v>
      </c>
      <c r="Q99" s="176">
        <v>1</v>
      </c>
      <c r="R99" s="81"/>
      <c r="S99" s="175" t="s">
        <v>588</v>
      </c>
      <c r="T99" s="176">
        <v>2</v>
      </c>
    </row>
    <row r="100" spans="13:20" x14ac:dyDescent="0.25">
      <c r="M100" s="168" t="s">
        <v>515</v>
      </c>
      <c r="N100" s="169">
        <v>3</v>
      </c>
      <c r="O100" s="81"/>
      <c r="P100" s="175" t="s">
        <v>516</v>
      </c>
      <c r="Q100" s="176">
        <v>2</v>
      </c>
      <c r="R100" s="81"/>
      <c r="S100" s="175" t="s">
        <v>516</v>
      </c>
      <c r="T100" s="176">
        <v>3</v>
      </c>
    </row>
    <row r="101" spans="13:20" x14ac:dyDescent="0.25">
      <c r="M101" s="168" t="s">
        <v>1003</v>
      </c>
      <c r="N101" s="169">
        <v>2</v>
      </c>
      <c r="O101" s="81"/>
      <c r="P101" s="175" t="s">
        <v>1013</v>
      </c>
      <c r="Q101" s="176">
        <v>2</v>
      </c>
      <c r="R101" s="81"/>
      <c r="S101" s="175" t="s">
        <v>1004</v>
      </c>
      <c r="T101" s="176">
        <v>6</v>
      </c>
    </row>
    <row r="102" spans="13:20" x14ac:dyDescent="0.25">
      <c r="M102" s="168" t="s">
        <v>1004</v>
      </c>
      <c r="N102" s="169">
        <v>4</v>
      </c>
      <c r="O102" s="81"/>
      <c r="P102" s="175" t="s">
        <v>1004</v>
      </c>
      <c r="Q102" s="176">
        <v>3</v>
      </c>
      <c r="R102" s="81"/>
      <c r="S102" s="177" t="s">
        <v>15</v>
      </c>
      <c r="T102" s="178">
        <v>22</v>
      </c>
    </row>
    <row r="103" spans="13:20" ht="15.75" thickBot="1" x14ac:dyDescent="0.3">
      <c r="M103" s="170" t="s">
        <v>15</v>
      </c>
      <c r="N103" s="171">
        <v>24</v>
      </c>
      <c r="O103" s="81"/>
      <c r="P103" s="177" t="s">
        <v>15</v>
      </c>
      <c r="Q103" s="178">
        <v>20</v>
      </c>
      <c r="R103" s="81"/>
      <c r="S103" s="179" t="s">
        <v>1007</v>
      </c>
      <c r="T103" s="180">
        <v>3.15</v>
      </c>
    </row>
    <row r="104" spans="13:20" ht="15.75" thickBot="1" x14ac:dyDescent="0.3">
      <c r="M104" s="172" t="s">
        <v>1007</v>
      </c>
      <c r="N104" s="173">
        <v>3</v>
      </c>
      <c r="O104" s="81"/>
      <c r="P104" s="179" t="s">
        <v>1007</v>
      </c>
      <c r="Q104" s="180">
        <v>3</v>
      </c>
      <c r="R104" s="81"/>
      <c r="S104" s="81"/>
      <c r="T104" s="81"/>
    </row>
    <row r="105" spans="13:20" x14ac:dyDescent="0.25">
      <c r="M105" s="81"/>
      <c r="N105" s="257"/>
      <c r="O105" s="257"/>
      <c r="P105" s="81"/>
      <c r="Q105" s="257"/>
      <c r="R105" s="257"/>
      <c r="S105" s="81"/>
      <c r="T105" s="81"/>
    </row>
    <row r="106" spans="13:20" ht="15.75" thickBot="1" x14ac:dyDescent="0.3">
      <c r="M106" s="81"/>
      <c r="N106" s="257"/>
      <c r="O106" s="257"/>
      <c r="P106" s="81"/>
      <c r="Q106" s="257"/>
      <c r="R106" s="257"/>
      <c r="S106" s="81"/>
      <c r="T106" s="81"/>
    </row>
    <row r="107" spans="13:20" x14ac:dyDescent="0.25">
      <c r="M107" s="247" t="s">
        <v>996</v>
      </c>
      <c r="N107" s="248"/>
      <c r="O107" s="81"/>
      <c r="P107" s="247" t="s">
        <v>1010</v>
      </c>
      <c r="Q107" s="248"/>
      <c r="R107" s="81"/>
      <c r="S107" s="255" t="s">
        <v>1016</v>
      </c>
      <c r="T107" s="256"/>
    </row>
    <row r="108" spans="13:20" x14ac:dyDescent="0.25">
      <c r="M108" s="251" t="s">
        <v>997</v>
      </c>
      <c r="N108" s="252"/>
      <c r="O108" s="81"/>
      <c r="P108" s="251" t="s">
        <v>997</v>
      </c>
      <c r="Q108" s="252"/>
      <c r="R108" s="81"/>
      <c r="S108" s="253" t="s">
        <v>997</v>
      </c>
      <c r="T108" s="254"/>
    </row>
    <row r="109" spans="13:20" x14ac:dyDescent="0.25">
      <c r="M109" s="168" t="s">
        <v>999</v>
      </c>
      <c r="N109" s="169">
        <v>3</v>
      </c>
      <c r="O109" s="81"/>
      <c r="P109" s="168" t="s">
        <v>999</v>
      </c>
      <c r="Q109" s="169">
        <v>9</v>
      </c>
      <c r="R109" s="81"/>
      <c r="S109" s="175" t="s">
        <v>999</v>
      </c>
      <c r="T109" s="181"/>
    </row>
    <row r="110" spans="13:20" x14ac:dyDescent="0.25">
      <c r="M110" s="168" t="s">
        <v>1000</v>
      </c>
      <c r="N110" s="169">
        <v>3</v>
      </c>
      <c r="O110" s="81"/>
      <c r="P110" s="168" t="s">
        <v>1000</v>
      </c>
      <c r="Q110" s="169">
        <v>4</v>
      </c>
      <c r="R110" s="81"/>
      <c r="S110" s="175" t="s">
        <v>1000</v>
      </c>
      <c r="T110" s="181"/>
    </row>
    <row r="111" spans="13:20" x14ac:dyDescent="0.25">
      <c r="M111" s="168" t="s">
        <v>423</v>
      </c>
      <c r="N111" s="169">
        <v>6</v>
      </c>
      <c r="O111" s="81"/>
      <c r="P111" s="168" t="s">
        <v>423</v>
      </c>
      <c r="Q111" s="169">
        <v>5</v>
      </c>
      <c r="R111" s="81"/>
      <c r="S111" s="175" t="s">
        <v>423</v>
      </c>
      <c r="T111" s="181"/>
    </row>
    <row r="112" spans="13:20" x14ac:dyDescent="0.25">
      <c r="M112" s="168" t="s">
        <v>424</v>
      </c>
      <c r="N112" s="169">
        <v>3</v>
      </c>
      <c r="O112" s="81"/>
      <c r="P112" s="168" t="s">
        <v>424</v>
      </c>
      <c r="Q112" s="169">
        <v>7</v>
      </c>
      <c r="R112" s="81"/>
      <c r="S112" s="175" t="s">
        <v>424</v>
      </c>
      <c r="T112" s="181"/>
    </row>
    <row r="113" spans="13:20" x14ac:dyDescent="0.25">
      <c r="M113" s="168" t="s">
        <v>588</v>
      </c>
      <c r="N113" s="169">
        <v>2</v>
      </c>
      <c r="O113" s="81"/>
      <c r="P113" s="168" t="s">
        <v>588</v>
      </c>
      <c r="Q113" s="169">
        <v>4</v>
      </c>
      <c r="R113" s="81"/>
      <c r="S113" s="175" t="s">
        <v>588</v>
      </c>
      <c r="T113" s="181"/>
    </row>
    <row r="114" spans="13:20" x14ac:dyDescent="0.25">
      <c r="M114" s="168" t="s">
        <v>516</v>
      </c>
      <c r="N114" s="169">
        <v>8</v>
      </c>
      <c r="O114" s="81"/>
      <c r="P114" s="168" t="s">
        <v>516</v>
      </c>
      <c r="Q114" s="169">
        <v>4</v>
      </c>
      <c r="R114" s="81"/>
      <c r="S114" s="175" t="s">
        <v>516</v>
      </c>
      <c r="T114" s="181"/>
    </row>
    <row r="115" spans="13:20" x14ac:dyDescent="0.25">
      <c r="M115" s="168" t="s">
        <v>1004</v>
      </c>
      <c r="N115" s="169">
        <v>4</v>
      </c>
      <c r="O115" s="81"/>
      <c r="P115" s="168" t="s">
        <v>1004</v>
      </c>
      <c r="Q115" s="169">
        <v>5</v>
      </c>
      <c r="R115" s="81"/>
      <c r="S115" s="175" t="s">
        <v>1004</v>
      </c>
      <c r="T115" s="181"/>
    </row>
    <row r="116" spans="13:20" x14ac:dyDescent="0.25">
      <c r="M116" s="170" t="s">
        <v>15</v>
      </c>
      <c r="N116" s="171">
        <v>29</v>
      </c>
      <c r="O116" s="81"/>
      <c r="P116" s="170" t="s">
        <v>15</v>
      </c>
      <c r="Q116" s="171">
        <v>38</v>
      </c>
      <c r="R116" s="81"/>
      <c r="S116" s="177" t="s">
        <v>15</v>
      </c>
      <c r="T116" s="182"/>
    </row>
    <row r="117" spans="13:20" ht="15.75" thickBot="1" x14ac:dyDescent="0.3">
      <c r="M117" s="172" t="s">
        <v>1006</v>
      </c>
      <c r="N117" s="173">
        <v>4.1500000000000004</v>
      </c>
      <c r="O117" s="81"/>
      <c r="P117" s="172" t="s">
        <v>1007</v>
      </c>
      <c r="Q117" s="173">
        <v>5.5</v>
      </c>
      <c r="R117" s="81"/>
      <c r="S117" s="179" t="s">
        <v>1007</v>
      </c>
      <c r="T117" s="183"/>
    </row>
    <row r="118" spans="13:20" ht="15.75" thickBot="1" x14ac:dyDescent="0.3">
      <c r="M118" s="179" t="s">
        <v>1007</v>
      </c>
      <c r="N118" s="180">
        <v>2.75</v>
      </c>
      <c r="O118" s="81"/>
      <c r="P118" s="81"/>
      <c r="Q118" s="257"/>
      <c r="R118" s="257"/>
      <c r="S118" s="81"/>
      <c r="T118" s="81"/>
    </row>
  </sheetData>
  <mergeCells count="54">
    <mergeCell ref="M38:N38"/>
    <mergeCell ref="P38:Q38"/>
    <mergeCell ref="S38:T38"/>
    <mergeCell ref="M39:N39"/>
    <mergeCell ref="P39:Q39"/>
    <mergeCell ref="S39:T39"/>
    <mergeCell ref="N50:O50"/>
    <mergeCell ref="Q50:R50"/>
    <mergeCell ref="N51:O51"/>
    <mergeCell ref="Q51:R51"/>
    <mergeCell ref="M52:N52"/>
    <mergeCell ref="P52:Q52"/>
    <mergeCell ref="M67:N67"/>
    <mergeCell ref="P67:Q67"/>
    <mergeCell ref="S67:T67"/>
    <mergeCell ref="S52:T52"/>
    <mergeCell ref="M53:N53"/>
    <mergeCell ref="P53:Q53"/>
    <mergeCell ref="S53:T53"/>
    <mergeCell ref="N64:O64"/>
    <mergeCell ref="Q64:R64"/>
    <mergeCell ref="N65:O65"/>
    <mergeCell ref="Q65:R65"/>
    <mergeCell ref="M66:N66"/>
    <mergeCell ref="P66:Q66"/>
    <mergeCell ref="S66:T66"/>
    <mergeCell ref="Q77:R77"/>
    <mergeCell ref="M79:N79"/>
    <mergeCell ref="P79:Q79"/>
    <mergeCell ref="S79:T79"/>
    <mergeCell ref="M80:N80"/>
    <mergeCell ref="P80:Q80"/>
    <mergeCell ref="S80:T80"/>
    <mergeCell ref="N91:O91"/>
    <mergeCell ref="Q91:R91"/>
    <mergeCell ref="N92:O92"/>
    <mergeCell ref="Q92:R92"/>
    <mergeCell ref="M93:N93"/>
    <mergeCell ref="P93:Q93"/>
    <mergeCell ref="S107:T107"/>
    <mergeCell ref="M108:N108"/>
    <mergeCell ref="P108:Q108"/>
    <mergeCell ref="S108:T108"/>
    <mergeCell ref="S93:T93"/>
    <mergeCell ref="M94:N94"/>
    <mergeCell ref="P94:Q94"/>
    <mergeCell ref="S94:T94"/>
    <mergeCell ref="N105:O105"/>
    <mergeCell ref="Q105:R105"/>
    <mergeCell ref="Q118:R118"/>
    <mergeCell ref="N106:O106"/>
    <mergeCell ref="Q106:R106"/>
    <mergeCell ref="M107:N107"/>
    <mergeCell ref="P107:Q107"/>
  </mergeCells>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14E90-190D-403D-9633-A179B36596DA}">
  <dimension ref="A1:U120"/>
  <sheetViews>
    <sheetView topLeftCell="A61" workbookViewId="0">
      <selection activeCell="A82" sqref="A82:B93"/>
    </sheetView>
  </sheetViews>
  <sheetFormatPr defaultRowHeight="15" x14ac:dyDescent="0.25"/>
  <cols>
    <col min="1" max="1" width="14.85546875" style="9" bestFit="1" customWidth="1"/>
    <col min="2" max="2" width="11.5703125" style="9" bestFit="1" customWidth="1"/>
    <col min="3" max="3" width="17.85546875" style="9" bestFit="1" customWidth="1"/>
    <col min="4" max="4" width="11.140625" style="9" bestFit="1" customWidth="1"/>
    <col min="5" max="5" width="19.140625" style="9" customWidth="1"/>
    <col min="6" max="6" width="6.42578125" style="9" bestFit="1" customWidth="1"/>
    <col min="7" max="7" width="10.140625" bestFit="1" customWidth="1"/>
    <col min="8" max="8" width="21" bestFit="1" customWidth="1"/>
    <col min="9" max="9" width="9.28515625" bestFit="1" customWidth="1"/>
    <col min="10" max="10" width="10.42578125" bestFit="1" customWidth="1"/>
    <col min="12" max="13" width="15.140625" customWidth="1"/>
    <col min="14" max="14" width="12.42578125" bestFit="1" customWidth="1"/>
    <col min="16" max="16" width="15.7109375" customWidth="1"/>
    <col min="17" max="17" width="18.140625" customWidth="1"/>
    <col min="18" max="18" width="12.7109375" bestFit="1" customWidth="1"/>
  </cols>
  <sheetData>
    <row r="1" spans="1:21" x14ac:dyDescent="0.25">
      <c r="A1" s="9" t="s">
        <v>261</v>
      </c>
    </row>
    <row r="3" spans="1:21" ht="30" x14ac:dyDescent="0.25">
      <c r="A3" s="8" t="s">
        <v>643</v>
      </c>
      <c r="B3" s="8" t="s">
        <v>171</v>
      </c>
      <c r="C3" s="8" t="s">
        <v>644</v>
      </c>
      <c r="D3" s="8" t="s">
        <v>645</v>
      </c>
      <c r="E3" s="8" t="s">
        <v>182</v>
      </c>
      <c r="F3" s="8" t="s">
        <v>148</v>
      </c>
      <c r="G3" s="8" t="s">
        <v>539</v>
      </c>
      <c r="H3" s="8" t="s">
        <v>244</v>
      </c>
      <c r="I3" s="8" t="s">
        <v>646</v>
      </c>
      <c r="J3" s="8"/>
      <c r="K3" s="8" t="s">
        <v>15</v>
      </c>
      <c r="L3" s="8" t="s">
        <v>647</v>
      </c>
      <c r="M3" s="8"/>
      <c r="N3" s="8"/>
    </row>
    <row r="4" spans="1:21" x14ac:dyDescent="0.25">
      <c r="A4" s="7" t="s">
        <v>424</v>
      </c>
      <c r="B4" s="7">
        <v>5</v>
      </c>
      <c r="C4" s="7">
        <v>20</v>
      </c>
      <c r="D4" s="7">
        <v>7</v>
      </c>
      <c r="E4" s="7">
        <v>2</v>
      </c>
      <c r="F4" s="7">
        <v>3</v>
      </c>
      <c r="G4" s="7"/>
      <c r="H4" s="2">
        <v>1</v>
      </c>
      <c r="I4" s="2"/>
      <c r="J4" s="2"/>
      <c r="K4" s="117">
        <f>SUM(B4:J4)</f>
        <v>38</v>
      </c>
      <c r="L4">
        <v>50</v>
      </c>
    </row>
    <row r="5" spans="1:21" x14ac:dyDescent="0.25">
      <c r="A5" s="7" t="s">
        <v>589</v>
      </c>
      <c r="B5" s="7">
        <v>23</v>
      </c>
      <c r="C5" s="7">
        <v>22</v>
      </c>
      <c r="D5" s="7">
        <v>11</v>
      </c>
      <c r="E5" s="7">
        <v>5</v>
      </c>
      <c r="F5" s="7">
        <v>9</v>
      </c>
      <c r="G5" s="2">
        <v>1</v>
      </c>
      <c r="H5" s="2">
        <v>1</v>
      </c>
      <c r="I5" s="2">
        <v>2</v>
      </c>
      <c r="J5" s="2"/>
      <c r="K5" s="117">
        <f>SUM(B5:J5)</f>
        <v>74</v>
      </c>
      <c r="L5" s="119">
        <v>118</v>
      </c>
    </row>
    <row r="6" spans="1:21" x14ac:dyDescent="0.25">
      <c r="A6" s="7" t="s">
        <v>471</v>
      </c>
      <c r="B6" s="7">
        <v>3</v>
      </c>
      <c r="C6" s="7">
        <v>7</v>
      </c>
      <c r="D6" s="7">
        <v>3</v>
      </c>
      <c r="E6" s="7">
        <v>1</v>
      </c>
      <c r="F6" s="7"/>
      <c r="G6" s="2">
        <v>2</v>
      </c>
      <c r="H6" s="2"/>
      <c r="I6" s="2"/>
      <c r="J6" s="2"/>
      <c r="K6" s="117">
        <f>SUM(B6:J6)</f>
        <v>16</v>
      </c>
      <c r="L6">
        <v>24</v>
      </c>
      <c r="N6" s="118" t="s">
        <v>10</v>
      </c>
      <c r="R6" s="27" t="s">
        <v>12</v>
      </c>
    </row>
    <row r="7" spans="1:21" x14ac:dyDescent="0.25">
      <c r="A7" s="7" t="s">
        <v>824</v>
      </c>
      <c r="B7" s="7"/>
      <c r="C7" s="7"/>
      <c r="D7" s="7"/>
      <c r="E7" s="7"/>
      <c r="F7" s="7"/>
      <c r="G7" s="2"/>
      <c r="H7" s="2"/>
      <c r="I7" s="2"/>
      <c r="J7" s="2"/>
      <c r="K7" s="117"/>
      <c r="N7" s="47">
        <v>45662</v>
      </c>
      <c r="O7" s="116">
        <v>18</v>
      </c>
      <c r="P7" s="28">
        <v>18.57</v>
      </c>
      <c r="Q7" s="28">
        <v>185.86</v>
      </c>
      <c r="R7" s="47">
        <v>45662</v>
      </c>
      <c r="S7" s="51"/>
      <c r="T7" s="51"/>
      <c r="U7" s="51"/>
    </row>
    <row r="8" spans="1:21" x14ac:dyDescent="0.25">
      <c r="A8" s="7" t="s">
        <v>825</v>
      </c>
      <c r="B8" s="7"/>
      <c r="C8" s="7"/>
      <c r="D8" s="7"/>
      <c r="E8" s="7"/>
      <c r="F8" s="7"/>
      <c r="G8" s="2"/>
      <c r="H8" s="2"/>
      <c r="I8" s="2"/>
      <c r="J8" s="2"/>
      <c r="K8" s="117"/>
      <c r="N8" s="47">
        <v>45669</v>
      </c>
      <c r="P8">
        <v>12.57</v>
      </c>
      <c r="R8" s="47">
        <v>45669</v>
      </c>
      <c r="S8">
        <v>15</v>
      </c>
      <c r="T8">
        <v>16.71</v>
      </c>
    </row>
    <row r="9" spans="1:21" x14ac:dyDescent="0.25">
      <c r="A9" s="7" t="s">
        <v>823</v>
      </c>
      <c r="B9" s="7"/>
      <c r="C9" s="7"/>
      <c r="D9" s="7"/>
      <c r="E9" s="7"/>
      <c r="F9" s="7"/>
      <c r="G9" s="2"/>
      <c r="H9" s="2"/>
      <c r="I9" s="2"/>
      <c r="J9" s="2"/>
      <c r="K9" s="117"/>
      <c r="N9" s="47">
        <v>45676</v>
      </c>
      <c r="R9" s="47">
        <v>45676</v>
      </c>
    </row>
    <row r="10" spans="1:21" x14ac:dyDescent="0.25">
      <c r="A10" s="120" t="s">
        <v>79</v>
      </c>
      <c r="B10" s="120"/>
      <c r="C10" s="120"/>
      <c r="D10" s="120"/>
      <c r="E10" s="120"/>
      <c r="F10" s="120"/>
      <c r="G10" s="54"/>
      <c r="H10" s="54"/>
      <c r="I10" s="54"/>
      <c r="J10" s="54"/>
      <c r="K10" s="121"/>
      <c r="N10" s="47">
        <v>45683</v>
      </c>
      <c r="Q10">
        <f>SUM(Q11-Q9-Q8-Q7)</f>
        <v>64.139999999999986</v>
      </c>
      <c r="R10" s="47">
        <v>45683</v>
      </c>
      <c r="S10">
        <v>26</v>
      </c>
      <c r="U10">
        <v>256.85000000000002</v>
      </c>
    </row>
    <row r="11" spans="1:21" x14ac:dyDescent="0.25">
      <c r="N11" s="48">
        <v>45689</v>
      </c>
      <c r="O11" s="49"/>
      <c r="P11" s="49"/>
      <c r="Q11" s="50">
        <v>250</v>
      </c>
      <c r="R11" s="48">
        <v>45689</v>
      </c>
      <c r="S11" s="49">
        <v>25</v>
      </c>
      <c r="T11" s="49"/>
      <c r="U11" s="49">
        <v>265</v>
      </c>
    </row>
    <row r="12" spans="1:21" x14ac:dyDescent="0.25">
      <c r="A12"/>
      <c r="B12" s="6" t="s">
        <v>656</v>
      </c>
      <c r="C12" s="6" t="s">
        <v>658</v>
      </c>
      <c r="D12" s="6" t="s">
        <v>658</v>
      </c>
      <c r="E12" s="6" t="s">
        <v>267</v>
      </c>
      <c r="F12" s="6" t="s">
        <v>267</v>
      </c>
      <c r="G12" s="6" t="s">
        <v>614</v>
      </c>
      <c r="N12" t="s">
        <v>10</v>
      </c>
      <c r="O12" t="s">
        <v>408</v>
      </c>
      <c r="P12" t="s">
        <v>526</v>
      </c>
      <c r="Q12" t="s">
        <v>527</v>
      </c>
      <c r="R12" t="s">
        <v>12</v>
      </c>
      <c r="S12" t="s">
        <v>408</v>
      </c>
      <c r="T12" t="s">
        <v>526</v>
      </c>
      <c r="U12" t="s">
        <v>527</v>
      </c>
    </row>
    <row r="13" spans="1:21" x14ac:dyDescent="0.25">
      <c r="A13" s="98" t="s">
        <v>424</v>
      </c>
      <c r="B13" s="2" t="s">
        <v>657</v>
      </c>
      <c r="C13" s="2" t="s">
        <v>659</v>
      </c>
      <c r="D13" s="2" t="s">
        <v>660</v>
      </c>
      <c r="E13" s="98" t="s">
        <v>661</v>
      </c>
      <c r="F13" s="2"/>
      <c r="G13" s="2"/>
      <c r="N13" s="1">
        <v>45691</v>
      </c>
      <c r="O13">
        <v>23</v>
      </c>
      <c r="P13">
        <v>34.71</v>
      </c>
      <c r="Q13">
        <v>173.14</v>
      </c>
      <c r="R13" s="13">
        <v>45691</v>
      </c>
      <c r="S13">
        <v>25</v>
      </c>
      <c r="T13">
        <v>23.29</v>
      </c>
      <c r="U13">
        <v>255</v>
      </c>
    </row>
    <row r="14" spans="1:21" x14ac:dyDescent="0.25">
      <c r="A14" s="2" t="s">
        <v>15</v>
      </c>
      <c r="B14" s="2"/>
      <c r="C14" s="2">
        <v>18</v>
      </c>
      <c r="D14" s="2"/>
      <c r="E14" s="98"/>
      <c r="F14" s="2"/>
      <c r="G14" s="2"/>
      <c r="N14" s="1">
        <v>45698</v>
      </c>
      <c r="O14">
        <v>21</v>
      </c>
      <c r="P14">
        <v>11.71</v>
      </c>
      <c r="Q14">
        <v>162.57</v>
      </c>
      <c r="R14" s="13">
        <v>45698</v>
      </c>
      <c r="S14">
        <v>30</v>
      </c>
      <c r="T14">
        <v>26.86</v>
      </c>
      <c r="U14">
        <v>253</v>
      </c>
    </row>
    <row r="15" spans="1:21" x14ac:dyDescent="0.25">
      <c r="A15" s="98" t="s">
        <v>471</v>
      </c>
      <c r="B15" s="2" t="s">
        <v>657</v>
      </c>
      <c r="C15" s="2" t="s">
        <v>674</v>
      </c>
      <c r="D15" s="2" t="s">
        <v>678</v>
      </c>
      <c r="E15" s="2"/>
      <c r="F15" s="2"/>
      <c r="G15" s="2"/>
      <c r="N15" s="1">
        <v>45705</v>
      </c>
      <c r="O15">
        <v>20</v>
      </c>
      <c r="P15">
        <v>67.14</v>
      </c>
      <c r="Q15">
        <v>199.29</v>
      </c>
      <c r="R15" s="13">
        <v>45705</v>
      </c>
      <c r="S15">
        <v>27</v>
      </c>
      <c r="T15">
        <v>-5.29</v>
      </c>
      <c r="U15">
        <v>222.43</v>
      </c>
    </row>
    <row r="16" spans="1:21" x14ac:dyDescent="0.25">
      <c r="A16" s="2" t="s">
        <v>15</v>
      </c>
      <c r="B16" s="2"/>
      <c r="C16" s="2">
        <v>8</v>
      </c>
      <c r="D16" s="2"/>
      <c r="E16" s="2"/>
      <c r="F16" s="2"/>
      <c r="G16" s="2"/>
      <c r="N16" s="1">
        <v>45712</v>
      </c>
      <c r="O16">
        <v>20</v>
      </c>
      <c r="P16">
        <v>11</v>
      </c>
      <c r="Q16">
        <v>188.86</v>
      </c>
      <c r="R16" s="13">
        <v>45712</v>
      </c>
      <c r="S16">
        <v>25</v>
      </c>
      <c r="T16">
        <v>19.57</v>
      </c>
      <c r="U16">
        <v>216.86</v>
      </c>
    </row>
    <row r="17" spans="1:21" x14ac:dyDescent="0.25">
      <c r="A17" s="98" t="s">
        <v>589</v>
      </c>
      <c r="B17" s="2" t="s">
        <v>657</v>
      </c>
      <c r="C17" s="2" t="s">
        <v>675</v>
      </c>
      <c r="D17" s="2"/>
      <c r="E17" s="2"/>
      <c r="F17" s="2"/>
      <c r="G17" s="2"/>
      <c r="N17" s="6" t="s">
        <v>525</v>
      </c>
      <c r="O17">
        <f>AVERAGE(O13:O16)</f>
        <v>21</v>
      </c>
      <c r="P17">
        <f>AVERAGE(P13:P16)</f>
        <v>31.14</v>
      </c>
      <c r="Q17">
        <f>AVERAGE(Q12:Q16)</f>
        <v>180.965</v>
      </c>
      <c r="R17" s="6" t="s">
        <v>528</v>
      </c>
      <c r="S17">
        <f>AVERAGE(S13:S16)</f>
        <v>26.75</v>
      </c>
      <c r="T17">
        <f>AVERAGE(T13:T16)</f>
        <v>16.107500000000002</v>
      </c>
      <c r="U17">
        <f>AVERAGE(U13:U16)</f>
        <v>236.82250000000002</v>
      </c>
    </row>
    <row r="18" spans="1:21" x14ac:dyDescent="0.25">
      <c r="A18" s="7" t="s">
        <v>15</v>
      </c>
      <c r="B18" s="7"/>
      <c r="C18" s="7">
        <v>15</v>
      </c>
      <c r="D18" s="7"/>
      <c r="E18" s="2"/>
      <c r="F18" s="2"/>
      <c r="G18" s="2"/>
      <c r="N18" s="6" t="s">
        <v>263</v>
      </c>
      <c r="O18" s="6">
        <v>25</v>
      </c>
      <c r="P18" s="6"/>
      <c r="Q18" s="6">
        <v>185</v>
      </c>
      <c r="R18" s="6" t="s">
        <v>263</v>
      </c>
      <c r="S18" s="6">
        <v>26</v>
      </c>
      <c r="T18" s="6"/>
      <c r="U18" s="6">
        <v>265</v>
      </c>
    </row>
    <row r="19" spans="1:21" x14ac:dyDescent="0.25">
      <c r="E19"/>
      <c r="F19"/>
      <c r="N19" s="6"/>
      <c r="O19" s="6"/>
      <c r="P19" s="6"/>
      <c r="Q19" s="6"/>
      <c r="R19" s="6"/>
      <c r="S19" s="6"/>
      <c r="T19" s="6"/>
      <c r="U19" s="6"/>
    </row>
    <row r="20" spans="1:21" x14ac:dyDescent="0.25">
      <c r="A20"/>
      <c r="B20" s="6" t="s">
        <v>656</v>
      </c>
      <c r="C20" s="6" t="s">
        <v>658</v>
      </c>
      <c r="D20" s="6" t="s">
        <v>658</v>
      </c>
      <c r="E20" s="6" t="s">
        <v>267</v>
      </c>
      <c r="F20" s="6" t="s">
        <v>267</v>
      </c>
      <c r="G20" s="6" t="s">
        <v>267</v>
      </c>
    </row>
    <row r="21" spans="1:21" x14ac:dyDescent="0.25">
      <c r="A21" s="98" t="s">
        <v>424</v>
      </c>
      <c r="B21" s="2" t="s">
        <v>664</v>
      </c>
      <c r="C21" s="2" t="s">
        <v>675</v>
      </c>
      <c r="D21" s="2" t="s">
        <v>686</v>
      </c>
      <c r="E21" s="98" t="s">
        <v>661</v>
      </c>
      <c r="F21" s="2"/>
      <c r="G21" s="2"/>
    </row>
    <row r="22" spans="1:21" x14ac:dyDescent="0.25">
      <c r="A22" s="98"/>
      <c r="B22" s="2"/>
      <c r="C22" s="2"/>
      <c r="D22" s="2"/>
      <c r="E22" s="98"/>
      <c r="F22" s="2"/>
      <c r="G22" s="2"/>
      <c r="O22" s="6" t="s">
        <v>656</v>
      </c>
      <c r="P22" s="6" t="s">
        <v>658</v>
      </c>
      <c r="Q22" s="6" t="s">
        <v>658</v>
      </c>
      <c r="R22" s="6" t="s">
        <v>267</v>
      </c>
      <c r="S22" s="6" t="s">
        <v>267</v>
      </c>
      <c r="T22" s="6" t="s">
        <v>267</v>
      </c>
    </row>
    <row r="23" spans="1:21" x14ac:dyDescent="0.25">
      <c r="A23" s="98" t="s">
        <v>471</v>
      </c>
      <c r="B23" s="2" t="s">
        <v>664</v>
      </c>
      <c r="C23" s="2" t="s">
        <v>688</v>
      </c>
      <c r="D23" s="2" t="s">
        <v>689</v>
      </c>
      <c r="E23" s="2"/>
      <c r="F23" s="2"/>
      <c r="G23" s="2"/>
      <c r="N23" s="98" t="s">
        <v>424</v>
      </c>
      <c r="O23" s="2" t="s">
        <v>657</v>
      </c>
      <c r="P23" s="2" t="s">
        <v>659</v>
      </c>
      <c r="Q23" s="2" t="s">
        <v>660</v>
      </c>
      <c r="R23" s="98" t="s">
        <v>661</v>
      </c>
      <c r="S23" s="2"/>
      <c r="T23" s="2"/>
    </row>
    <row r="24" spans="1:21" x14ac:dyDescent="0.25">
      <c r="A24" s="98"/>
      <c r="B24" s="2"/>
      <c r="C24" s="2"/>
      <c r="D24" s="2"/>
      <c r="E24" s="2"/>
      <c r="F24" s="2"/>
      <c r="G24" s="2"/>
      <c r="N24" s="98"/>
      <c r="O24" s="2"/>
      <c r="P24" s="2">
        <v>4</v>
      </c>
      <c r="Q24" s="2"/>
      <c r="R24" s="98"/>
      <c r="S24" s="2"/>
      <c r="T24" s="2"/>
    </row>
    <row r="25" spans="1:21" x14ac:dyDescent="0.25">
      <c r="A25" s="98" t="s">
        <v>589</v>
      </c>
      <c r="B25" s="2" t="s">
        <v>664</v>
      </c>
      <c r="C25" s="2"/>
      <c r="D25" s="2"/>
      <c r="E25" s="2"/>
      <c r="F25" s="2"/>
      <c r="G25" s="2"/>
      <c r="N25" s="98" t="s">
        <v>471</v>
      </c>
      <c r="O25" s="2" t="s">
        <v>657</v>
      </c>
      <c r="P25" s="2" t="s">
        <v>674</v>
      </c>
      <c r="Q25" s="2" t="s">
        <v>678</v>
      </c>
      <c r="R25" s="2"/>
      <c r="S25" s="2"/>
      <c r="T25" s="2"/>
    </row>
    <row r="26" spans="1:21" x14ac:dyDescent="0.25">
      <c r="A26" s="7"/>
      <c r="B26" s="7"/>
      <c r="C26" s="7"/>
      <c r="D26" s="7"/>
      <c r="E26" s="2"/>
      <c r="F26" s="2"/>
      <c r="G26" s="2"/>
      <c r="N26" s="98"/>
      <c r="O26" s="2"/>
      <c r="P26" s="2"/>
      <c r="Q26" s="2"/>
      <c r="R26" s="2"/>
      <c r="S26" s="2"/>
      <c r="T26" s="2"/>
    </row>
    <row r="27" spans="1:21" x14ac:dyDescent="0.25">
      <c r="E27"/>
      <c r="F27"/>
      <c r="N27" s="98"/>
      <c r="O27" s="2"/>
      <c r="P27" s="2"/>
      <c r="Q27" s="2"/>
      <c r="R27" s="2"/>
      <c r="S27" s="2"/>
      <c r="T27" s="2"/>
    </row>
    <row r="28" spans="1:21" x14ac:dyDescent="0.25">
      <c r="A28"/>
      <c r="B28" s="6" t="s">
        <v>656</v>
      </c>
      <c r="C28" s="6" t="s">
        <v>658</v>
      </c>
      <c r="D28" s="6" t="s">
        <v>658</v>
      </c>
      <c r="E28" s="6" t="s">
        <v>267</v>
      </c>
      <c r="F28" s="6" t="s">
        <v>267</v>
      </c>
      <c r="G28" s="6" t="s">
        <v>267</v>
      </c>
      <c r="N28" s="98" t="s">
        <v>589</v>
      </c>
      <c r="O28" s="2" t="s">
        <v>657</v>
      </c>
      <c r="P28" s="2" t="s">
        <v>675</v>
      </c>
      <c r="Q28" s="2"/>
      <c r="R28" s="2"/>
      <c r="S28" s="2"/>
      <c r="T28" s="2"/>
    </row>
    <row r="29" spans="1:21" x14ac:dyDescent="0.25">
      <c r="A29" s="98" t="s">
        <v>424</v>
      </c>
      <c r="B29" s="2" t="s">
        <v>679</v>
      </c>
      <c r="C29" s="2"/>
      <c r="D29" s="2"/>
      <c r="E29" s="98" t="s">
        <v>661</v>
      </c>
      <c r="F29" s="2"/>
      <c r="G29" s="2"/>
      <c r="N29" s="6"/>
    </row>
    <row r="30" spans="1:21" x14ac:dyDescent="0.25">
      <c r="A30" s="98"/>
      <c r="B30" s="2"/>
      <c r="C30" s="2"/>
      <c r="D30" s="2"/>
      <c r="E30" s="98"/>
      <c r="F30" s="2"/>
      <c r="G30" s="2"/>
    </row>
    <row r="31" spans="1:21" x14ac:dyDescent="0.25">
      <c r="A31" s="98" t="s">
        <v>471</v>
      </c>
      <c r="B31" s="2" t="s">
        <v>679</v>
      </c>
      <c r="C31" s="2"/>
      <c r="D31" s="2"/>
      <c r="E31" s="2"/>
      <c r="F31" s="2"/>
      <c r="G31" s="2"/>
      <c r="O31" s="6" t="s">
        <v>656</v>
      </c>
      <c r="P31" s="6" t="s">
        <v>658</v>
      </c>
      <c r="Q31" s="6" t="s">
        <v>658</v>
      </c>
      <c r="R31" s="6" t="s">
        <v>267</v>
      </c>
    </row>
    <row r="32" spans="1:21" x14ac:dyDescent="0.25">
      <c r="A32" s="98"/>
      <c r="B32" s="2"/>
      <c r="C32" s="2"/>
      <c r="D32" s="2"/>
      <c r="E32" s="2"/>
      <c r="F32" s="2"/>
      <c r="G32" s="2"/>
      <c r="N32" s="6" t="s">
        <v>665</v>
      </c>
      <c r="O32" t="s">
        <v>657</v>
      </c>
      <c r="P32" t="s">
        <v>662</v>
      </c>
      <c r="Q32" t="s">
        <v>663</v>
      </c>
      <c r="R32" s="6" t="s">
        <v>661</v>
      </c>
    </row>
    <row r="33" spans="1:20" x14ac:dyDescent="0.25">
      <c r="A33" s="98" t="s">
        <v>589</v>
      </c>
      <c r="B33" s="2" t="s">
        <v>679</v>
      </c>
      <c r="C33" s="2"/>
      <c r="D33" s="2"/>
      <c r="E33" s="2"/>
      <c r="F33" s="2"/>
      <c r="G33" s="2"/>
      <c r="N33" s="6">
        <v>2</v>
      </c>
      <c r="O33" t="s">
        <v>657</v>
      </c>
    </row>
    <row r="34" spans="1:20" x14ac:dyDescent="0.25">
      <c r="A34" s="7"/>
      <c r="B34" s="7"/>
      <c r="C34" s="7"/>
      <c r="D34" s="7"/>
      <c r="E34" s="7"/>
      <c r="F34" s="7"/>
      <c r="G34" s="2"/>
      <c r="N34" s="6">
        <v>3</v>
      </c>
      <c r="O34" t="s">
        <v>657</v>
      </c>
    </row>
    <row r="35" spans="1:20" x14ac:dyDescent="0.25">
      <c r="H35" t="s">
        <v>822</v>
      </c>
      <c r="N35" s="6">
        <v>4</v>
      </c>
      <c r="O35" t="s">
        <v>664</v>
      </c>
      <c r="Q35" t="s">
        <v>687</v>
      </c>
    </row>
    <row r="36" spans="1:20" x14ac:dyDescent="0.25">
      <c r="A36" s="9" t="s">
        <v>798</v>
      </c>
      <c r="H36" t="s">
        <v>264</v>
      </c>
      <c r="I36" t="s">
        <v>799</v>
      </c>
      <c r="J36" t="s">
        <v>800</v>
      </c>
    </row>
    <row r="37" spans="1:20" x14ac:dyDescent="0.25">
      <c r="A37" s="8" t="s">
        <v>794</v>
      </c>
      <c r="B37" s="8" t="s">
        <v>424</v>
      </c>
      <c r="C37" s="8" t="s">
        <v>471</v>
      </c>
      <c r="D37" s="8" t="s">
        <v>589</v>
      </c>
      <c r="H37" s="139" t="s">
        <v>801</v>
      </c>
      <c r="I37" s="139" t="s">
        <v>802</v>
      </c>
      <c r="J37" s="140">
        <v>46055</v>
      </c>
      <c r="O37" s="6" t="s">
        <v>656</v>
      </c>
      <c r="P37" s="6" t="s">
        <v>658</v>
      </c>
      <c r="Q37" s="6" t="s">
        <v>658</v>
      </c>
      <c r="R37" s="6" t="s">
        <v>267</v>
      </c>
    </row>
    <row r="38" spans="1:20" x14ac:dyDescent="0.25">
      <c r="A38" s="135" t="s">
        <v>131</v>
      </c>
      <c r="B38" s="7">
        <v>9</v>
      </c>
      <c r="C38" s="7">
        <v>8</v>
      </c>
      <c r="D38" s="7">
        <v>20</v>
      </c>
      <c r="H38" s="139" t="s">
        <v>803</v>
      </c>
      <c r="I38" s="139" t="s">
        <v>804</v>
      </c>
      <c r="J38" s="140">
        <v>46055</v>
      </c>
      <c r="N38" s="6" t="s">
        <v>666</v>
      </c>
      <c r="O38" t="s">
        <v>657</v>
      </c>
      <c r="P38" t="s">
        <v>667</v>
      </c>
      <c r="Q38" t="s">
        <v>668</v>
      </c>
      <c r="R38" s="6" t="s">
        <v>661</v>
      </c>
    </row>
    <row r="39" spans="1:20" x14ac:dyDescent="0.25">
      <c r="A39" s="135" t="s">
        <v>148</v>
      </c>
      <c r="B39" s="7">
        <v>5</v>
      </c>
      <c r="C39" s="7">
        <v>3</v>
      </c>
      <c r="D39" s="7">
        <v>9</v>
      </c>
      <c r="H39" s="118" t="s">
        <v>805</v>
      </c>
      <c r="I39" s="118" t="s">
        <v>806</v>
      </c>
      <c r="J39" s="138">
        <v>46023</v>
      </c>
      <c r="K39" s="118" t="s">
        <v>424</v>
      </c>
      <c r="N39" s="6"/>
      <c r="P39">
        <v>18</v>
      </c>
      <c r="Q39">
        <v>15.86</v>
      </c>
      <c r="R39" s="6"/>
    </row>
    <row r="40" spans="1:20" x14ac:dyDescent="0.25">
      <c r="A40" s="135" t="s">
        <v>171</v>
      </c>
      <c r="B40" s="7">
        <v>10</v>
      </c>
      <c r="C40" s="7">
        <v>16</v>
      </c>
      <c r="D40" s="7">
        <v>19</v>
      </c>
      <c r="H40" s="118" t="s">
        <v>807</v>
      </c>
      <c r="I40" s="118" t="s">
        <v>131</v>
      </c>
      <c r="J40" s="138">
        <v>46023</v>
      </c>
      <c r="K40" s="118" t="s">
        <v>471</v>
      </c>
      <c r="N40" s="6">
        <v>2</v>
      </c>
      <c r="O40" t="s">
        <v>657</v>
      </c>
    </row>
    <row r="41" spans="1:20" x14ac:dyDescent="0.25">
      <c r="A41" s="135" t="s">
        <v>795</v>
      </c>
      <c r="B41" s="7">
        <v>3</v>
      </c>
      <c r="C41" s="7">
        <v>3</v>
      </c>
      <c r="D41" s="7">
        <v>2</v>
      </c>
      <c r="H41" t="s">
        <v>808</v>
      </c>
      <c r="J41" s="1">
        <v>46113</v>
      </c>
      <c r="N41" s="6">
        <v>3</v>
      </c>
      <c r="O41" t="s">
        <v>657</v>
      </c>
    </row>
    <row r="42" spans="1:20" x14ac:dyDescent="0.25">
      <c r="A42" s="135" t="s">
        <v>250</v>
      </c>
      <c r="B42" s="7">
        <v>11</v>
      </c>
      <c r="C42" s="7">
        <v>8</v>
      </c>
      <c r="D42" s="7">
        <v>17</v>
      </c>
      <c r="H42" t="s">
        <v>809</v>
      </c>
      <c r="I42" t="s">
        <v>131</v>
      </c>
      <c r="N42" s="6">
        <v>4</v>
      </c>
      <c r="O42" t="s">
        <v>664</v>
      </c>
    </row>
    <row r="43" spans="1:20" x14ac:dyDescent="0.25">
      <c r="A43" s="135" t="s">
        <v>796</v>
      </c>
      <c r="B43" s="7">
        <v>4</v>
      </c>
      <c r="C43" s="7">
        <v>1</v>
      </c>
      <c r="D43" s="7">
        <v>1</v>
      </c>
      <c r="H43" t="s">
        <v>810</v>
      </c>
      <c r="I43" t="s">
        <v>131</v>
      </c>
      <c r="J43" s="1">
        <v>46127</v>
      </c>
    </row>
    <row r="44" spans="1:20" x14ac:dyDescent="0.25">
      <c r="A44" s="135" t="s">
        <v>167</v>
      </c>
      <c r="B44" s="7">
        <v>1</v>
      </c>
      <c r="C44" s="7">
        <v>4</v>
      </c>
      <c r="D44" s="7">
        <v>0</v>
      </c>
      <c r="H44" t="s">
        <v>811</v>
      </c>
      <c r="I44" t="s">
        <v>134</v>
      </c>
      <c r="J44" s="1">
        <v>46174</v>
      </c>
      <c r="O44" s="6" t="s">
        <v>656</v>
      </c>
      <c r="P44" s="6" t="s">
        <v>658</v>
      </c>
      <c r="Q44" s="6" t="s">
        <v>658</v>
      </c>
      <c r="R44" s="6" t="s">
        <v>267</v>
      </c>
      <c r="S44" s="6" t="s">
        <v>267</v>
      </c>
      <c r="T44" s="6" t="s">
        <v>267</v>
      </c>
    </row>
    <row r="45" spans="1:20" x14ac:dyDescent="0.25">
      <c r="A45" s="135" t="s">
        <v>134</v>
      </c>
      <c r="B45" s="7">
        <v>3</v>
      </c>
      <c r="C45" s="7">
        <v>3</v>
      </c>
      <c r="D45" s="7">
        <v>7</v>
      </c>
      <c r="H45" s="142" t="s">
        <v>812</v>
      </c>
      <c r="I45" s="142" t="s">
        <v>131</v>
      </c>
      <c r="J45" s="143">
        <v>46023</v>
      </c>
      <c r="K45" s="142" t="s">
        <v>471</v>
      </c>
      <c r="N45" s="6" t="s">
        <v>589</v>
      </c>
      <c r="O45" t="s">
        <v>657</v>
      </c>
      <c r="P45" t="s">
        <v>669</v>
      </c>
      <c r="R45" s="6" t="s">
        <v>670</v>
      </c>
    </row>
    <row r="46" spans="1:20" x14ac:dyDescent="0.25">
      <c r="A46" s="135" t="s">
        <v>244</v>
      </c>
      <c r="B46" s="7">
        <v>1</v>
      </c>
      <c r="C46" s="7">
        <v>3</v>
      </c>
      <c r="D46" s="7">
        <v>2</v>
      </c>
      <c r="H46" s="139" t="s">
        <v>813</v>
      </c>
      <c r="I46" s="139" t="s">
        <v>814</v>
      </c>
      <c r="J46" s="140">
        <v>46054</v>
      </c>
      <c r="N46" s="6"/>
      <c r="O46" t="s">
        <v>657</v>
      </c>
    </row>
    <row r="47" spans="1:20" x14ac:dyDescent="0.25">
      <c r="A47" s="135" t="s">
        <v>797</v>
      </c>
      <c r="B47" s="7">
        <v>9</v>
      </c>
      <c r="C47" s="7">
        <v>3</v>
      </c>
      <c r="D47" s="7">
        <v>5</v>
      </c>
      <c r="H47" s="118" t="s">
        <v>815</v>
      </c>
      <c r="I47" s="118" t="s">
        <v>148</v>
      </c>
      <c r="J47" s="138">
        <v>46023</v>
      </c>
      <c r="K47" s="118" t="s">
        <v>471</v>
      </c>
      <c r="N47" s="6"/>
      <c r="O47" t="s">
        <v>657</v>
      </c>
    </row>
    <row r="48" spans="1:20" x14ac:dyDescent="0.25">
      <c r="A48" s="135" t="s">
        <v>39</v>
      </c>
      <c r="B48" s="7">
        <f>SUM(B38:B47)</f>
        <v>56</v>
      </c>
      <c r="C48" s="7">
        <f>SUM(C38:C47)</f>
        <v>52</v>
      </c>
      <c r="D48" s="7">
        <f>SUM(D38:D47)</f>
        <v>82</v>
      </c>
      <c r="H48" t="s">
        <v>816</v>
      </c>
      <c r="I48" t="s">
        <v>244</v>
      </c>
      <c r="J48" s="1">
        <v>46023</v>
      </c>
      <c r="K48" t="s">
        <v>424</v>
      </c>
    </row>
    <row r="49" spans="1:10" ht="30" x14ac:dyDescent="0.25">
      <c r="B49" s="9" t="s">
        <v>798</v>
      </c>
      <c r="C49" s="150" t="s">
        <v>869</v>
      </c>
      <c r="H49" t="s">
        <v>779</v>
      </c>
      <c r="I49" t="s">
        <v>131</v>
      </c>
      <c r="J49" s="1">
        <v>46082</v>
      </c>
    </row>
    <row r="50" spans="1:10" x14ac:dyDescent="0.25">
      <c r="A50" s="8" t="s">
        <v>794</v>
      </c>
      <c r="B50" s="8" t="s">
        <v>589</v>
      </c>
      <c r="C50" s="150"/>
      <c r="H50" s="139" t="s">
        <v>817</v>
      </c>
      <c r="I50" s="139" t="s">
        <v>134</v>
      </c>
      <c r="J50" s="140">
        <v>46054</v>
      </c>
    </row>
    <row r="51" spans="1:10" x14ac:dyDescent="0.25">
      <c r="A51" s="135" t="s">
        <v>131</v>
      </c>
      <c r="B51" s="7">
        <v>20</v>
      </c>
      <c r="C51" s="150">
        <v>19</v>
      </c>
      <c r="E51"/>
      <c r="F51" t="s">
        <v>818</v>
      </c>
      <c r="G51" t="s">
        <v>131</v>
      </c>
      <c r="H51" s="1">
        <v>46143</v>
      </c>
    </row>
    <row r="52" spans="1:10" x14ac:dyDescent="0.25">
      <c r="A52" s="135" t="s">
        <v>148</v>
      </c>
      <c r="B52" s="7">
        <v>9</v>
      </c>
      <c r="C52" s="150">
        <v>8</v>
      </c>
      <c r="E52"/>
      <c r="F52" t="s">
        <v>819</v>
      </c>
      <c r="G52" t="s">
        <v>131</v>
      </c>
      <c r="H52" s="1">
        <v>46113</v>
      </c>
    </row>
    <row r="53" spans="1:10" x14ac:dyDescent="0.25">
      <c r="A53" s="135" t="s">
        <v>171</v>
      </c>
      <c r="B53" s="7">
        <v>19</v>
      </c>
      <c r="C53" s="150">
        <v>18</v>
      </c>
      <c r="E53"/>
      <c r="F53" t="s">
        <v>820</v>
      </c>
      <c r="G53" t="s">
        <v>167</v>
      </c>
    </row>
    <row r="54" spans="1:10" x14ac:dyDescent="0.25">
      <c r="A54" s="135" t="s">
        <v>795</v>
      </c>
      <c r="B54" s="7">
        <v>2</v>
      </c>
      <c r="C54" s="150">
        <v>2</v>
      </c>
      <c r="E54"/>
      <c r="F54" s="118" t="s">
        <v>821</v>
      </c>
      <c r="G54" s="118" t="s">
        <v>131</v>
      </c>
      <c r="H54" s="138">
        <v>46023</v>
      </c>
      <c r="I54" s="118" t="s">
        <v>79</v>
      </c>
    </row>
    <row r="55" spans="1:10" x14ac:dyDescent="0.25">
      <c r="A55" s="135" t="s">
        <v>250</v>
      </c>
      <c r="B55" s="7">
        <v>17</v>
      </c>
      <c r="C55" s="150">
        <v>17</v>
      </c>
      <c r="E55"/>
      <c r="F55" s="139" t="s">
        <v>846</v>
      </c>
      <c r="G55" s="139" t="s">
        <v>131</v>
      </c>
      <c r="H55" s="140">
        <v>46054</v>
      </c>
    </row>
    <row r="56" spans="1:10" x14ac:dyDescent="0.25">
      <c r="A56" s="135" t="s">
        <v>796</v>
      </c>
      <c r="B56" s="7">
        <v>1</v>
      </c>
      <c r="C56" s="150" t="s">
        <v>870</v>
      </c>
      <c r="E56"/>
      <c r="F56"/>
    </row>
    <row r="57" spans="1:10" x14ac:dyDescent="0.25">
      <c r="A57" s="135" t="s">
        <v>167</v>
      </c>
      <c r="B57" s="7">
        <v>0</v>
      </c>
      <c r="C57" s="150">
        <v>0</v>
      </c>
      <c r="E57"/>
      <c r="F57"/>
    </row>
    <row r="58" spans="1:10" ht="30" x14ac:dyDescent="0.25">
      <c r="A58" s="135" t="s">
        <v>134</v>
      </c>
      <c r="B58" s="7">
        <v>7</v>
      </c>
      <c r="C58" s="150" t="s">
        <v>871</v>
      </c>
      <c r="E58"/>
      <c r="F58" t="s">
        <v>841</v>
      </c>
    </row>
    <row r="59" spans="1:10" x14ac:dyDescent="0.25">
      <c r="A59" s="135" t="s">
        <v>244</v>
      </c>
      <c r="B59" s="7">
        <v>2</v>
      </c>
      <c r="C59" s="150" t="s">
        <v>872</v>
      </c>
      <c r="E59"/>
      <c r="F59"/>
    </row>
    <row r="60" spans="1:10" x14ac:dyDescent="0.25">
      <c r="A60" s="135" t="s">
        <v>797</v>
      </c>
      <c r="B60" s="7">
        <v>5</v>
      </c>
      <c r="C60" s="150" t="s">
        <v>873</v>
      </c>
      <c r="E60"/>
      <c r="F60" t="s">
        <v>842</v>
      </c>
    </row>
    <row r="61" spans="1:10" x14ac:dyDescent="0.25">
      <c r="A61" s="135" t="s">
        <v>39</v>
      </c>
      <c r="B61" s="7">
        <f>SUM(B51:B60)</f>
        <v>82</v>
      </c>
      <c r="C61" s="150">
        <v>79</v>
      </c>
      <c r="E61"/>
      <c r="F61"/>
    </row>
    <row r="62" spans="1:10" x14ac:dyDescent="0.25">
      <c r="E62"/>
      <c r="F62" t="s">
        <v>843</v>
      </c>
    </row>
    <row r="63" spans="1:10" x14ac:dyDescent="0.25">
      <c r="H63" t="s">
        <v>844</v>
      </c>
    </row>
    <row r="66" spans="1:4" x14ac:dyDescent="0.25">
      <c r="A66" s="9" t="s">
        <v>898</v>
      </c>
    </row>
    <row r="67" spans="1:4" ht="16.5" x14ac:dyDescent="0.3">
      <c r="A67" s="155" t="s">
        <v>899</v>
      </c>
      <c r="B67" s="65">
        <v>45908</v>
      </c>
      <c r="C67" s="9" t="s">
        <v>10</v>
      </c>
    </row>
    <row r="68" spans="1:4" x14ac:dyDescent="0.25">
      <c r="A68" s="8" t="s">
        <v>1158</v>
      </c>
    </row>
    <row r="69" spans="1:4" x14ac:dyDescent="0.25">
      <c r="A69" s="8" t="s">
        <v>794</v>
      </c>
      <c r="B69" s="8" t="s">
        <v>424</v>
      </c>
      <c r="C69" s="8" t="s">
        <v>471</v>
      </c>
      <c r="D69" s="8" t="s">
        <v>589</v>
      </c>
    </row>
    <row r="70" spans="1:4" x14ac:dyDescent="0.25">
      <c r="A70" s="135" t="s">
        <v>131</v>
      </c>
      <c r="B70" s="7">
        <v>17</v>
      </c>
      <c r="C70" s="7">
        <v>14</v>
      </c>
      <c r="D70" s="7">
        <v>17</v>
      </c>
    </row>
    <row r="71" spans="1:4" x14ac:dyDescent="0.25">
      <c r="A71" s="135" t="s">
        <v>148</v>
      </c>
      <c r="B71" s="7">
        <v>6</v>
      </c>
      <c r="C71" s="7">
        <v>6</v>
      </c>
      <c r="D71" s="7">
        <v>8</v>
      </c>
    </row>
    <row r="72" spans="1:4" x14ac:dyDescent="0.25">
      <c r="A72" s="135" t="s">
        <v>171</v>
      </c>
      <c r="B72" s="7">
        <v>23</v>
      </c>
      <c r="C72" s="7">
        <v>16</v>
      </c>
      <c r="D72" s="7">
        <v>17</v>
      </c>
    </row>
    <row r="73" spans="1:4" x14ac:dyDescent="0.25">
      <c r="A73" s="135" t="s">
        <v>795</v>
      </c>
      <c r="B73" s="7">
        <v>2</v>
      </c>
      <c r="C73" s="7">
        <v>4</v>
      </c>
      <c r="D73" s="7">
        <v>4</v>
      </c>
    </row>
    <row r="74" spans="1:4" x14ac:dyDescent="0.25">
      <c r="A74" s="135" t="s">
        <v>250</v>
      </c>
      <c r="B74" s="7">
        <v>13</v>
      </c>
      <c r="C74" s="7">
        <v>6</v>
      </c>
      <c r="D74" s="7">
        <v>13</v>
      </c>
    </row>
    <row r="75" spans="1:4" x14ac:dyDescent="0.25">
      <c r="A75" s="135" t="s">
        <v>796</v>
      </c>
      <c r="B75" s="7">
        <v>1</v>
      </c>
      <c r="C75" s="7">
        <v>1</v>
      </c>
      <c r="D75" s="7">
        <v>1</v>
      </c>
    </row>
    <row r="76" spans="1:4" x14ac:dyDescent="0.25">
      <c r="A76" s="135" t="s">
        <v>167</v>
      </c>
      <c r="B76" s="7">
        <v>2</v>
      </c>
      <c r="C76" s="7">
        <v>2</v>
      </c>
      <c r="D76" s="7">
        <v>0</v>
      </c>
    </row>
    <row r="77" spans="1:4" x14ac:dyDescent="0.25">
      <c r="A77" s="135" t="s">
        <v>134</v>
      </c>
      <c r="B77" s="7">
        <v>3</v>
      </c>
      <c r="C77" s="7">
        <v>3</v>
      </c>
      <c r="D77" s="7">
        <v>9</v>
      </c>
    </row>
    <row r="78" spans="1:4" x14ac:dyDescent="0.25">
      <c r="A78" s="135" t="s">
        <v>244</v>
      </c>
      <c r="B78" s="7">
        <v>4</v>
      </c>
      <c r="C78" s="7">
        <v>5</v>
      </c>
      <c r="D78" s="7">
        <v>1</v>
      </c>
    </row>
    <row r="79" spans="1:4" x14ac:dyDescent="0.25">
      <c r="A79" s="135" t="s">
        <v>1159</v>
      </c>
      <c r="B79" s="7">
        <v>6</v>
      </c>
      <c r="C79" s="7">
        <v>8</v>
      </c>
      <c r="D79" s="7">
        <v>6</v>
      </c>
    </row>
    <row r="80" spans="1:4" x14ac:dyDescent="0.25">
      <c r="A80" s="135" t="s">
        <v>39</v>
      </c>
      <c r="B80" s="7">
        <f>SUM(B70:B79)</f>
        <v>77</v>
      </c>
      <c r="C80" s="7">
        <f>SUM(C70:C79)</f>
        <v>65</v>
      </c>
      <c r="D80" s="7">
        <f>SUM(D70:D79)</f>
        <v>76</v>
      </c>
    </row>
    <row r="82" spans="1:12" x14ac:dyDescent="0.25">
      <c r="A82" s="8" t="s">
        <v>794</v>
      </c>
      <c r="B82" s="8"/>
    </row>
    <row r="83" spans="1:12" x14ac:dyDescent="0.25">
      <c r="A83" s="135" t="s">
        <v>131</v>
      </c>
      <c r="B83" s="7"/>
    </row>
    <row r="84" spans="1:12" x14ac:dyDescent="0.25">
      <c r="A84" s="135" t="s">
        <v>148</v>
      </c>
      <c r="B84" s="7"/>
    </row>
    <row r="85" spans="1:12" x14ac:dyDescent="0.25">
      <c r="A85" s="135" t="s">
        <v>171</v>
      </c>
      <c r="B85" s="7"/>
      <c r="C85" s="150"/>
      <c r="D85" s="150"/>
      <c r="E85" s="150"/>
      <c r="F85" s="150"/>
      <c r="G85" s="150"/>
      <c r="H85" s="150"/>
      <c r="I85" s="150"/>
      <c r="J85" s="150"/>
      <c r="K85" s="150"/>
      <c r="L85" s="150"/>
    </row>
    <row r="86" spans="1:12" x14ac:dyDescent="0.25">
      <c r="A86" s="135" t="s">
        <v>795</v>
      </c>
      <c r="B86" s="7"/>
    </row>
    <row r="87" spans="1:12" x14ac:dyDescent="0.25">
      <c r="A87" s="135" t="s">
        <v>250</v>
      </c>
      <c r="B87" s="7"/>
    </row>
    <row r="88" spans="1:12" x14ac:dyDescent="0.25">
      <c r="A88" s="135" t="s">
        <v>796</v>
      </c>
      <c r="B88" s="7"/>
    </row>
    <row r="89" spans="1:12" x14ac:dyDescent="0.25">
      <c r="A89" s="135" t="s">
        <v>167</v>
      </c>
      <c r="B89" s="7"/>
    </row>
    <row r="90" spans="1:12" x14ac:dyDescent="0.25">
      <c r="A90" s="135" t="s">
        <v>134</v>
      </c>
      <c r="B90" s="7"/>
    </row>
    <row r="91" spans="1:12" x14ac:dyDescent="0.25">
      <c r="A91" s="135" t="s">
        <v>244</v>
      </c>
      <c r="B91" s="7"/>
    </row>
    <row r="92" spans="1:12" x14ac:dyDescent="0.25">
      <c r="A92" s="135" t="s">
        <v>1159</v>
      </c>
      <c r="B92" s="7"/>
    </row>
    <row r="93" spans="1:12" x14ac:dyDescent="0.25">
      <c r="A93" s="135" t="s">
        <v>39</v>
      </c>
      <c r="B93" s="7"/>
    </row>
    <row r="94" spans="1:12" x14ac:dyDescent="0.25">
      <c r="A94" s="8"/>
    </row>
    <row r="95" spans="1:12" x14ac:dyDescent="0.25">
      <c r="A95" s="9" t="s">
        <v>1264</v>
      </c>
    </row>
    <row r="96" spans="1:12" x14ac:dyDescent="0.25">
      <c r="A96" s="8" t="s">
        <v>794</v>
      </c>
      <c r="B96" s="8" t="s">
        <v>424</v>
      </c>
      <c r="C96" s="8" t="s">
        <v>471</v>
      </c>
      <c r="D96" s="8" t="s">
        <v>589</v>
      </c>
    </row>
    <row r="97" spans="1:5" x14ac:dyDescent="0.25">
      <c r="A97" s="135" t="s">
        <v>131</v>
      </c>
      <c r="B97" s="7">
        <v>21</v>
      </c>
      <c r="C97" s="7">
        <v>24</v>
      </c>
      <c r="D97" s="7"/>
    </row>
    <row r="98" spans="1:5" x14ac:dyDescent="0.25">
      <c r="A98" s="135" t="s">
        <v>148</v>
      </c>
      <c r="B98" s="7">
        <v>5</v>
      </c>
      <c r="C98" s="7">
        <v>8</v>
      </c>
      <c r="D98" s="7"/>
    </row>
    <row r="99" spans="1:5" x14ac:dyDescent="0.25">
      <c r="A99" s="135" t="s">
        <v>171</v>
      </c>
      <c r="B99" s="7">
        <v>25</v>
      </c>
      <c r="C99" s="7">
        <v>18</v>
      </c>
      <c r="D99" s="7"/>
    </row>
    <row r="100" spans="1:5" x14ac:dyDescent="0.25">
      <c r="A100" s="135" t="s">
        <v>795</v>
      </c>
      <c r="B100" s="7">
        <v>5</v>
      </c>
      <c r="C100" s="7">
        <v>7</v>
      </c>
      <c r="D100" s="7"/>
    </row>
    <row r="101" spans="1:5" x14ac:dyDescent="0.25">
      <c r="A101" s="135" t="s">
        <v>250</v>
      </c>
      <c r="B101" s="7">
        <v>12</v>
      </c>
      <c r="C101" s="7">
        <v>11</v>
      </c>
      <c r="D101" s="7"/>
    </row>
    <row r="102" spans="1:5" x14ac:dyDescent="0.25">
      <c r="A102" s="135" t="s">
        <v>796</v>
      </c>
      <c r="B102" s="7">
        <v>3</v>
      </c>
      <c r="C102" s="7">
        <v>2</v>
      </c>
      <c r="D102" s="7"/>
    </row>
    <row r="103" spans="1:5" x14ac:dyDescent="0.25">
      <c r="A103" s="135" t="s">
        <v>167</v>
      </c>
      <c r="B103" s="7">
        <v>2</v>
      </c>
      <c r="C103" s="7">
        <v>3</v>
      </c>
      <c r="D103" s="7"/>
    </row>
    <row r="104" spans="1:5" x14ac:dyDescent="0.25">
      <c r="A104" s="135" t="s">
        <v>134</v>
      </c>
      <c r="B104" s="7">
        <v>9</v>
      </c>
      <c r="C104" s="7">
        <v>3</v>
      </c>
      <c r="D104" s="7"/>
    </row>
    <row r="105" spans="1:5" x14ac:dyDescent="0.25">
      <c r="A105" s="135" t="s">
        <v>244</v>
      </c>
      <c r="B105" s="7">
        <v>2</v>
      </c>
      <c r="C105" s="7">
        <v>6</v>
      </c>
      <c r="D105" s="7"/>
    </row>
    <row r="106" spans="1:5" x14ac:dyDescent="0.25">
      <c r="A106" s="135" t="s">
        <v>1159</v>
      </c>
      <c r="B106" s="7">
        <v>10</v>
      </c>
      <c r="C106" s="7">
        <v>9</v>
      </c>
      <c r="D106" s="7"/>
      <c r="E106" s="9" t="s">
        <v>1265</v>
      </c>
    </row>
    <row r="107" spans="1:5" x14ac:dyDescent="0.25">
      <c r="A107" s="135" t="s">
        <v>39</v>
      </c>
      <c r="B107" s="7">
        <f>SUM(B97:B106)</f>
        <v>94</v>
      </c>
      <c r="C107" s="7">
        <f>SUM(C97:C106)</f>
        <v>91</v>
      </c>
      <c r="D107" s="7">
        <f>SUM(D97:D106)</f>
        <v>0</v>
      </c>
    </row>
    <row r="109" spans="1:5" x14ac:dyDescent="0.25">
      <c r="A109" s="8" t="s">
        <v>794</v>
      </c>
      <c r="B109" s="8" t="s">
        <v>825</v>
      </c>
      <c r="C109" s="8" t="s">
        <v>1333</v>
      </c>
    </row>
    <row r="110" spans="1:5" x14ac:dyDescent="0.25">
      <c r="A110" s="135" t="s">
        <v>131</v>
      </c>
      <c r="B110" s="7">
        <v>20</v>
      </c>
      <c r="C110" s="7">
        <v>24</v>
      </c>
    </row>
    <row r="111" spans="1:5" x14ac:dyDescent="0.25">
      <c r="A111" s="135" t="s">
        <v>148</v>
      </c>
      <c r="B111" s="7">
        <v>8</v>
      </c>
      <c r="C111" s="7"/>
    </row>
    <row r="112" spans="1:5" x14ac:dyDescent="0.25">
      <c r="A112" s="135" t="s">
        <v>171</v>
      </c>
      <c r="B112" s="7">
        <v>21</v>
      </c>
      <c r="C112" s="7">
        <v>20</v>
      </c>
    </row>
    <row r="113" spans="1:3" x14ac:dyDescent="0.25">
      <c r="A113" s="135" t="s">
        <v>795</v>
      </c>
      <c r="B113" s="7">
        <v>6</v>
      </c>
      <c r="C113" s="7">
        <v>4</v>
      </c>
    </row>
    <row r="114" spans="1:3" x14ac:dyDescent="0.25">
      <c r="A114" s="135" t="s">
        <v>250</v>
      </c>
      <c r="B114" s="7">
        <v>8</v>
      </c>
      <c r="C114" s="7">
        <v>7</v>
      </c>
    </row>
    <row r="115" spans="1:3" x14ac:dyDescent="0.25">
      <c r="A115" s="135" t="s">
        <v>796</v>
      </c>
      <c r="B115" s="7"/>
      <c r="C115" s="7"/>
    </row>
    <row r="116" spans="1:3" x14ac:dyDescent="0.25">
      <c r="A116" s="135" t="s">
        <v>167</v>
      </c>
      <c r="B116" s="7"/>
      <c r="C116" s="7"/>
    </row>
    <row r="117" spans="1:3" x14ac:dyDescent="0.25">
      <c r="A117" s="135" t="s">
        <v>134</v>
      </c>
      <c r="B117" s="7">
        <v>9</v>
      </c>
      <c r="C117" s="7">
        <v>8</v>
      </c>
    </row>
    <row r="118" spans="1:3" x14ac:dyDescent="0.25">
      <c r="A118" s="135" t="s">
        <v>244</v>
      </c>
      <c r="B118" s="7">
        <v>4</v>
      </c>
      <c r="C118" s="7">
        <v>6</v>
      </c>
    </row>
    <row r="119" spans="1:3" x14ac:dyDescent="0.25">
      <c r="A119" s="135" t="s">
        <v>1159</v>
      </c>
      <c r="B119" s="7">
        <v>11</v>
      </c>
      <c r="C119" s="7">
        <v>9</v>
      </c>
    </row>
    <row r="120" spans="1:3" x14ac:dyDescent="0.25">
      <c r="A120" s="135" t="s">
        <v>39</v>
      </c>
      <c r="B120" s="7">
        <f>SUM(B110:B119)</f>
        <v>87</v>
      </c>
      <c r="C120" s="7">
        <f>SUM(C110:C119)</f>
        <v>78</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FB3F7-C066-4C9A-B73B-4ED8DFE2C7F6}">
  <dimension ref="A1:N113"/>
  <sheetViews>
    <sheetView topLeftCell="A81" workbookViewId="0">
      <selection activeCell="C114" sqref="C114"/>
    </sheetView>
  </sheetViews>
  <sheetFormatPr defaultRowHeight="15" x14ac:dyDescent="0.25"/>
  <cols>
    <col min="1" max="1" width="69" customWidth="1"/>
    <col min="2" max="2" width="30" customWidth="1"/>
    <col min="3" max="3" width="27.85546875" style="9" customWidth="1"/>
    <col min="4" max="4" width="10.42578125" bestFit="1" customWidth="1"/>
    <col min="5" max="5" width="15.5703125" customWidth="1"/>
    <col min="6" max="6" width="6" bestFit="1" customWidth="1"/>
    <col min="7" max="7" width="25.28515625" bestFit="1" customWidth="1"/>
    <col min="8" max="8" width="15.28515625" bestFit="1" customWidth="1"/>
    <col min="11" max="11" width="27.140625" bestFit="1" customWidth="1"/>
    <col min="12" max="12" width="17.140625" bestFit="1" customWidth="1"/>
    <col min="13" max="13" width="11.5703125" bestFit="1" customWidth="1"/>
    <col min="14" max="14" width="13.7109375" bestFit="1" customWidth="1"/>
  </cols>
  <sheetData>
    <row r="1" spans="1:14" x14ac:dyDescent="0.25">
      <c r="A1" t="s">
        <v>117</v>
      </c>
      <c r="J1" s="47"/>
      <c r="K1" s="6" t="s">
        <v>612</v>
      </c>
      <c r="L1" s="6" t="s">
        <v>613</v>
      </c>
      <c r="M1" s="6" t="s">
        <v>614</v>
      </c>
      <c r="N1" s="6" t="s">
        <v>641</v>
      </c>
    </row>
    <row r="2" spans="1:14" x14ac:dyDescent="0.25">
      <c r="B2" t="s">
        <v>118</v>
      </c>
      <c r="C2" s="9" t="s">
        <v>119</v>
      </c>
      <c r="D2" t="s">
        <v>120</v>
      </c>
      <c r="E2" t="s">
        <v>121</v>
      </c>
      <c r="F2" t="s">
        <v>122</v>
      </c>
      <c r="G2" t="s">
        <v>123</v>
      </c>
      <c r="K2" s="2" t="s">
        <v>640</v>
      </c>
    </row>
    <row r="3" spans="1:14" ht="15.75" x14ac:dyDescent="0.25">
      <c r="A3" s="31" t="s">
        <v>124</v>
      </c>
      <c r="B3" s="11" t="s">
        <v>125</v>
      </c>
      <c r="C3" s="19"/>
      <c r="D3" s="11"/>
      <c r="E3" s="32" t="s">
        <v>126</v>
      </c>
      <c r="F3" s="11">
        <v>16270</v>
      </c>
      <c r="G3" s="11" t="s">
        <v>127</v>
      </c>
      <c r="H3" s="11" t="s">
        <v>11</v>
      </c>
      <c r="K3" s="2" t="s">
        <v>254</v>
      </c>
    </row>
    <row r="4" spans="1:14" ht="15.75" x14ac:dyDescent="0.25">
      <c r="A4" s="33" t="s">
        <v>128</v>
      </c>
      <c r="B4" s="2" t="s">
        <v>129</v>
      </c>
      <c r="C4" s="7"/>
      <c r="D4" s="2"/>
      <c r="E4" s="34" t="s">
        <v>130</v>
      </c>
      <c r="F4" s="2">
        <v>17627</v>
      </c>
      <c r="G4" s="2" t="s">
        <v>131</v>
      </c>
      <c r="H4" s="2" t="s">
        <v>11</v>
      </c>
      <c r="K4" s="2" t="s">
        <v>615</v>
      </c>
    </row>
    <row r="5" spans="1:14" ht="15.75" x14ac:dyDescent="0.25">
      <c r="A5" s="31" t="s">
        <v>132</v>
      </c>
      <c r="B5" s="11" t="s">
        <v>125</v>
      </c>
      <c r="C5" s="19"/>
      <c r="D5" s="11"/>
      <c r="E5" s="32" t="s">
        <v>133</v>
      </c>
      <c r="F5" s="11">
        <v>7930</v>
      </c>
      <c r="G5" s="11" t="s">
        <v>134</v>
      </c>
      <c r="H5" s="11" t="s">
        <v>11</v>
      </c>
      <c r="K5" s="2" t="s">
        <v>188</v>
      </c>
    </row>
    <row r="6" spans="1:14" ht="15.75" x14ac:dyDescent="0.25">
      <c r="A6" s="33" t="s">
        <v>135</v>
      </c>
      <c r="B6" s="2" t="s">
        <v>136</v>
      </c>
      <c r="C6" s="7"/>
      <c r="D6" s="2"/>
      <c r="E6" s="34" t="s">
        <v>137</v>
      </c>
      <c r="F6" s="2">
        <v>7297</v>
      </c>
      <c r="G6" s="2" t="s">
        <v>138</v>
      </c>
      <c r="H6" s="2" t="s">
        <v>11</v>
      </c>
      <c r="K6" s="2" t="s">
        <v>202</v>
      </c>
    </row>
    <row r="7" spans="1:14" ht="15.75" x14ac:dyDescent="0.25">
      <c r="A7" s="33" t="s">
        <v>139</v>
      </c>
      <c r="B7" s="35" t="s">
        <v>140</v>
      </c>
      <c r="C7" s="7"/>
      <c r="D7" s="2"/>
      <c r="E7" s="34" t="s">
        <v>141</v>
      </c>
      <c r="F7" s="2">
        <v>17158</v>
      </c>
      <c r="G7" s="2" t="s">
        <v>131</v>
      </c>
      <c r="H7" s="2" t="s">
        <v>11</v>
      </c>
      <c r="K7" s="2" t="s">
        <v>490</v>
      </c>
    </row>
    <row r="8" spans="1:14" ht="15.75" x14ac:dyDescent="0.25">
      <c r="A8" s="36" t="s">
        <v>142</v>
      </c>
      <c r="B8" s="20" t="s">
        <v>125</v>
      </c>
      <c r="C8" s="37" t="s">
        <v>143</v>
      </c>
      <c r="D8" s="20"/>
      <c r="E8" s="38" t="s">
        <v>144</v>
      </c>
      <c r="F8" s="20">
        <v>17282</v>
      </c>
      <c r="G8" s="20" t="s">
        <v>145</v>
      </c>
      <c r="H8" s="20" t="s">
        <v>11</v>
      </c>
      <c r="K8" s="2" t="s">
        <v>529</v>
      </c>
    </row>
    <row r="9" spans="1:14" ht="15.75" x14ac:dyDescent="0.25">
      <c r="A9" s="33" t="s">
        <v>146</v>
      </c>
      <c r="B9" s="2" t="s">
        <v>136</v>
      </c>
      <c r="C9" s="7"/>
      <c r="D9" s="2"/>
      <c r="E9" s="34" t="s">
        <v>147</v>
      </c>
      <c r="F9" s="2">
        <v>15136</v>
      </c>
      <c r="G9" s="2" t="s">
        <v>148</v>
      </c>
      <c r="H9" s="2" t="s">
        <v>11</v>
      </c>
      <c r="K9" s="2" t="s">
        <v>164</v>
      </c>
    </row>
    <row r="10" spans="1:14" ht="15.75" x14ac:dyDescent="0.25">
      <c r="A10" s="33" t="s">
        <v>149</v>
      </c>
      <c r="B10" s="2" t="s">
        <v>136</v>
      </c>
      <c r="C10" s="7"/>
      <c r="D10" s="2"/>
      <c r="E10" s="34" t="s">
        <v>150</v>
      </c>
      <c r="F10" s="2">
        <v>13593</v>
      </c>
      <c r="G10" s="2" t="s">
        <v>151</v>
      </c>
      <c r="H10" s="2" t="s">
        <v>11</v>
      </c>
      <c r="K10" s="2" t="s">
        <v>616</v>
      </c>
    </row>
    <row r="11" spans="1:14" ht="15.75" x14ac:dyDescent="0.25">
      <c r="A11" s="33" t="s">
        <v>152</v>
      </c>
      <c r="B11" s="2" t="s">
        <v>136</v>
      </c>
      <c r="C11" s="7"/>
      <c r="D11" s="2"/>
      <c r="E11" s="34" t="s">
        <v>153</v>
      </c>
      <c r="F11" s="2">
        <v>19626</v>
      </c>
      <c r="G11" s="2" t="s">
        <v>138</v>
      </c>
      <c r="H11" s="2" t="s">
        <v>11</v>
      </c>
      <c r="K11" s="2" t="s">
        <v>146</v>
      </c>
    </row>
    <row r="12" spans="1:14" ht="15.75" x14ac:dyDescent="0.25">
      <c r="A12" s="33" t="s">
        <v>154</v>
      </c>
      <c r="B12" s="2" t="s">
        <v>136</v>
      </c>
      <c r="C12" s="7"/>
      <c r="D12" s="2"/>
      <c r="E12" s="34" t="s">
        <v>155</v>
      </c>
      <c r="F12" s="2">
        <v>10422</v>
      </c>
      <c r="G12" s="2" t="s">
        <v>156</v>
      </c>
      <c r="H12" s="2" t="s">
        <v>11</v>
      </c>
      <c r="K12" s="2" t="s">
        <v>168</v>
      </c>
    </row>
    <row r="13" spans="1:14" ht="15.75" x14ac:dyDescent="0.25">
      <c r="A13" s="33" t="s">
        <v>157</v>
      </c>
      <c r="B13" s="2" t="s">
        <v>136</v>
      </c>
      <c r="C13" s="7"/>
      <c r="D13" s="2"/>
      <c r="E13" s="34" t="s">
        <v>158</v>
      </c>
      <c r="F13" s="2">
        <v>12536</v>
      </c>
      <c r="G13" s="2" t="s">
        <v>151</v>
      </c>
      <c r="H13" s="2" t="s">
        <v>11</v>
      </c>
      <c r="K13" s="2" t="s">
        <v>486</v>
      </c>
    </row>
    <row r="14" spans="1:14" ht="15.75" x14ac:dyDescent="0.25">
      <c r="A14" s="33" t="s">
        <v>159</v>
      </c>
      <c r="B14" s="2" t="s">
        <v>136</v>
      </c>
      <c r="C14" s="7"/>
      <c r="D14" s="2"/>
      <c r="E14" s="34" t="s">
        <v>160</v>
      </c>
      <c r="F14" s="2">
        <v>16693</v>
      </c>
      <c r="G14" s="2" t="s">
        <v>161</v>
      </c>
      <c r="H14" s="2" t="s">
        <v>11</v>
      </c>
      <c r="K14" s="2" t="s">
        <v>617</v>
      </c>
    </row>
    <row r="15" spans="1:14" ht="15.75" x14ac:dyDescent="0.25">
      <c r="A15" s="31" t="s">
        <v>162</v>
      </c>
      <c r="B15" s="11" t="s">
        <v>125</v>
      </c>
      <c r="C15" s="19"/>
      <c r="D15" s="11"/>
      <c r="E15" s="32" t="s">
        <v>163</v>
      </c>
      <c r="F15" s="11">
        <v>14470</v>
      </c>
      <c r="G15" s="11" t="s">
        <v>148</v>
      </c>
      <c r="H15" s="11" t="s">
        <v>11</v>
      </c>
      <c r="K15" s="2" t="s">
        <v>618</v>
      </c>
    </row>
    <row r="16" spans="1:14" ht="15.75" x14ac:dyDescent="0.25">
      <c r="A16" s="31" t="s">
        <v>164</v>
      </c>
      <c r="B16" s="11" t="s">
        <v>125</v>
      </c>
      <c r="C16" s="19" t="s">
        <v>165</v>
      </c>
      <c r="D16" s="11"/>
      <c r="E16" s="32" t="s">
        <v>166</v>
      </c>
      <c r="F16" s="11">
        <v>16071</v>
      </c>
      <c r="G16" s="11" t="s">
        <v>167</v>
      </c>
      <c r="H16" s="11" t="s">
        <v>11</v>
      </c>
      <c r="K16" s="2" t="s">
        <v>206</v>
      </c>
    </row>
    <row r="17" spans="1:11" ht="16.5" x14ac:dyDescent="0.25">
      <c r="A17" s="39" t="s">
        <v>168</v>
      </c>
      <c r="B17" s="11" t="s">
        <v>169</v>
      </c>
      <c r="C17" s="19"/>
      <c r="D17" s="11"/>
      <c r="E17" s="32" t="s">
        <v>170</v>
      </c>
      <c r="F17" s="11">
        <v>19799</v>
      </c>
      <c r="G17" s="11" t="s">
        <v>171</v>
      </c>
      <c r="H17" s="11" t="s">
        <v>10</v>
      </c>
      <c r="K17" s="2" t="s">
        <v>242</v>
      </c>
    </row>
    <row r="18" spans="1:11" ht="16.5" x14ac:dyDescent="0.3">
      <c r="A18" s="40" t="s">
        <v>172</v>
      </c>
      <c r="B18" s="11" t="s">
        <v>169</v>
      </c>
      <c r="C18" s="19" t="s">
        <v>173</v>
      </c>
      <c r="D18" s="11"/>
      <c r="E18" s="32" t="s">
        <v>174</v>
      </c>
      <c r="F18" s="11">
        <v>18082</v>
      </c>
      <c r="G18" s="11" t="s">
        <v>175</v>
      </c>
      <c r="H18" s="11" t="s">
        <v>10</v>
      </c>
      <c r="K18" s="2" t="s">
        <v>499</v>
      </c>
    </row>
    <row r="19" spans="1:11" ht="30.75" x14ac:dyDescent="0.3">
      <c r="A19" s="40" t="s">
        <v>176</v>
      </c>
      <c r="B19" s="11" t="s">
        <v>169</v>
      </c>
      <c r="C19" s="19" t="s">
        <v>177</v>
      </c>
      <c r="D19" s="11"/>
      <c r="E19" s="32" t="s">
        <v>178</v>
      </c>
      <c r="F19" s="11">
        <v>20984</v>
      </c>
      <c r="G19" s="11" t="s">
        <v>131</v>
      </c>
      <c r="H19" s="11" t="s">
        <v>10</v>
      </c>
      <c r="K19" s="2" t="s">
        <v>234</v>
      </c>
    </row>
    <row r="20" spans="1:11" x14ac:dyDescent="0.25">
      <c r="A20" s="2" t="s">
        <v>179</v>
      </c>
      <c r="B20" s="2" t="s">
        <v>180</v>
      </c>
      <c r="C20" s="7"/>
      <c r="D20" s="2"/>
      <c r="E20" s="34" t="s">
        <v>181</v>
      </c>
      <c r="F20" s="2">
        <v>17834</v>
      </c>
      <c r="G20" s="14" t="s">
        <v>182</v>
      </c>
      <c r="H20" s="14" t="s">
        <v>10</v>
      </c>
      <c r="K20" s="2" t="s">
        <v>238</v>
      </c>
    </row>
    <row r="21" spans="1:11" x14ac:dyDescent="0.25">
      <c r="A21" s="2" t="s">
        <v>183</v>
      </c>
      <c r="B21" s="2" t="s">
        <v>180</v>
      </c>
      <c r="C21" s="7"/>
      <c r="D21" s="2"/>
      <c r="E21" s="34" t="s">
        <v>184</v>
      </c>
      <c r="F21" s="14">
        <v>17835</v>
      </c>
      <c r="G21" s="14" t="s">
        <v>182</v>
      </c>
      <c r="H21" s="14" t="s">
        <v>10</v>
      </c>
      <c r="K21" s="2" t="s">
        <v>157</v>
      </c>
    </row>
    <row r="22" spans="1:11" x14ac:dyDescent="0.25">
      <c r="A22" s="2" t="s">
        <v>185</v>
      </c>
      <c r="B22" s="2" t="s">
        <v>186</v>
      </c>
      <c r="C22" s="7"/>
      <c r="D22" s="2"/>
      <c r="E22" s="2" t="s">
        <v>187</v>
      </c>
      <c r="F22" s="14">
        <v>19085</v>
      </c>
      <c r="G22" s="2" t="s">
        <v>156</v>
      </c>
      <c r="H22" s="14" t="s">
        <v>10</v>
      </c>
      <c r="K22" s="2" t="s">
        <v>124</v>
      </c>
    </row>
    <row r="23" spans="1:11" x14ac:dyDescent="0.25">
      <c r="A23" s="25" t="s">
        <v>188</v>
      </c>
      <c r="B23" s="25" t="s">
        <v>189</v>
      </c>
      <c r="C23" s="26" t="s">
        <v>190</v>
      </c>
      <c r="D23" s="25"/>
      <c r="E23" s="41" t="s">
        <v>191</v>
      </c>
      <c r="F23" s="25">
        <v>16393</v>
      </c>
      <c r="G23" s="25" t="s">
        <v>175</v>
      </c>
      <c r="H23" s="25" t="s">
        <v>10</v>
      </c>
      <c r="K23" s="2" t="s">
        <v>204</v>
      </c>
    </row>
    <row r="24" spans="1:11" x14ac:dyDescent="0.25">
      <c r="A24" s="2" t="s">
        <v>192</v>
      </c>
      <c r="B24" s="2" t="s">
        <v>186</v>
      </c>
      <c r="C24" s="7" t="s">
        <v>193</v>
      </c>
      <c r="D24" s="2"/>
      <c r="E24" s="34" t="s">
        <v>194</v>
      </c>
      <c r="F24" s="2">
        <v>19701</v>
      </c>
      <c r="G24" s="2" t="s">
        <v>175</v>
      </c>
      <c r="H24" s="14" t="s">
        <v>10</v>
      </c>
      <c r="K24" s="2" t="s">
        <v>619</v>
      </c>
    </row>
    <row r="25" spans="1:11" x14ac:dyDescent="0.25">
      <c r="A25" s="2" t="s">
        <v>195</v>
      </c>
      <c r="B25" s="2" t="s">
        <v>196</v>
      </c>
      <c r="C25" s="2" t="s">
        <v>197</v>
      </c>
      <c r="D25" s="2"/>
      <c r="E25" s="34" t="s">
        <v>198</v>
      </c>
      <c r="F25" s="2">
        <v>19059</v>
      </c>
      <c r="G25" s="2" t="s">
        <v>131</v>
      </c>
      <c r="H25" s="14" t="s">
        <v>10</v>
      </c>
      <c r="K25" s="2" t="s">
        <v>162</v>
      </c>
    </row>
    <row r="26" spans="1:11" ht="15.75" x14ac:dyDescent="0.25">
      <c r="A26" s="2" t="s">
        <v>199</v>
      </c>
      <c r="B26" s="2"/>
      <c r="C26" s="43" t="s">
        <v>200</v>
      </c>
      <c r="D26" s="2"/>
      <c r="E26" s="2" t="s">
        <v>201</v>
      </c>
      <c r="F26" s="2"/>
      <c r="G26" s="2"/>
      <c r="H26" s="2" t="s">
        <v>12</v>
      </c>
      <c r="K26" s="2" t="s">
        <v>620</v>
      </c>
    </row>
    <row r="27" spans="1:11" ht="15.75" x14ac:dyDescent="0.25">
      <c r="A27" s="2" t="s">
        <v>202</v>
      </c>
      <c r="B27" s="2"/>
      <c r="C27" s="42" t="s">
        <v>203</v>
      </c>
      <c r="D27" s="2"/>
      <c r="E27" s="2" t="s">
        <v>201</v>
      </c>
      <c r="F27" s="2"/>
      <c r="G27" s="2"/>
      <c r="H27" s="2" t="s">
        <v>12</v>
      </c>
      <c r="K27" s="2" t="s">
        <v>220</v>
      </c>
    </row>
    <row r="28" spans="1:11" ht="15.75" x14ac:dyDescent="0.25">
      <c r="A28" s="2" t="s">
        <v>204</v>
      </c>
      <c r="B28" s="2"/>
      <c r="C28" s="42" t="s">
        <v>205</v>
      </c>
      <c r="D28" s="2"/>
      <c r="E28" s="2" t="s">
        <v>201</v>
      </c>
      <c r="F28" s="2"/>
      <c r="G28" s="2"/>
      <c r="H28" s="2" t="s">
        <v>12</v>
      </c>
      <c r="K28" s="2" t="s">
        <v>621</v>
      </c>
    </row>
    <row r="29" spans="1:11" ht="15.75" x14ac:dyDescent="0.25">
      <c r="A29" s="2" t="s">
        <v>206</v>
      </c>
      <c r="B29" s="2"/>
      <c r="C29" s="42" t="s">
        <v>207</v>
      </c>
      <c r="D29" s="2"/>
      <c r="E29" s="2" t="s">
        <v>201</v>
      </c>
      <c r="F29" s="2"/>
      <c r="G29" s="2"/>
      <c r="H29" s="2" t="s">
        <v>12</v>
      </c>
      <c r="K29" s="2" t="s">
        <v>208</v>
      </c>
    </row>
    <row r="30" spans="1:11" ht="15.75" x14ac:dyDescent="0.25">
      <c r="A30" s="2" t="s">
        <v>208</v>
      </c>
      <c r="B30" s="2"/>
      <c r="C30" s="42" t="s">
        <v>209</v>
      </c>
      <c r="D30" s="2"/>
      <c r="E30" s="2" t="s">
        <v>201</v>
      </c>
      <c r="F30" s="2"/>
      <c r="G30" s="2"/>
      <c r="H30" s="2" t="s">
        <v>12</v>
      </c>
      <c r="K30" s="2" t="s">
        <v>176</v>
      </c>
    </row>
    <row r="31" spans="1:11" ht="15.75" x14ac:dyDescent="0.25">
      <c r="A31" s="2" t="s">
        <v>210</v>
      </c>
      <c r="B31" s="2"/>
      <c r="C31" s="42" t="s">
        <v>211</v>
      </c>
      <c r="D31" s="2"/>
      <c r="E31" s="2" t="s">
        <v>201</v>
      </c>
      <c r="F31" s="2"/>
      <c r="G31" s="2"/>
      <c r="H31" s="2" t="s">
        <v>12</v>
      </c>
      <c r="K31" s="2" t="s">
        <v>179</v>
      </c>
    </row>
    <row r="32" spans="1:11" ht="15.75" x14ac:dyDescent="0.25">
      <c r="A32" s="2" t="s">
        <v>212</v>
      </c>
      <c r="B32" s="2"/>
      <c r="C32" s="42" t="s">
        <v>213</v>
      </c>
      <c r="D32" s="2"/>
      <c r="E32" s="2" t="s">
        <v>201</v>
      </c>
      <c r="F32" s="2"/>
      <c r="G32" s="2"/>
      <c r="H32" s="2" t="s">
        <v>12</v>
      </c>
      <c r="K32" s="2" t="s">
        <v>199</v>
      </c>
    </row>
    <row r="33" spans="1:11" ht="15.75" x14ac:dyDescent="0.25">
      <c r="A33" s="2" t="s">
        <v>214</v>
      </c>
      <c r="B33" s="54"/>
      <c r="C33" s="42" t="s">
        <v>215</v>
      </c>
      <c r="D33" s="54"/>
      <c r="E33" s="54" t="s">
        <v>201</v>
      </c>
      <c r="F33" s="54"/>
      <c r="G33" s="54"/>
      <c r="H33" s="54" t="s">
        <v>12</v>
      </c>
      <c r="K33" s="2" t="s">
        <v>259</v>
      </c>
    </row>
    <row r="34" spans="1:11" x14ac:dyDescent="0.25">
      <c r="A34" s="55" t="s">
        <v>216</v>
      </c>
      <c r="B34" s="55"/>
      <c r="C34" s="55"/>
      <c r="D34" s="55"/>
      <c r="E34" s="55" t="s">
        <v>217</v>
      </c>
      <c r="F34" s="55">
        <v>11052</v>
      </c>
      <c r="G34" s="55"/>
      <c r="H34" s="55" t="s">
        <v>11</v>
      </c>
      <c r="K34" s="2" t="s">
        <v>240</v>
      </c>
    </row>
    <row r="35" spans="1:11" x14ac:dyDescent="0.25">
      <c r="A35" s="55" t="s">
        <v>218</v>
      </c>
      <c r="B35" s="55"/>
      <c r="C35" s="55"/>
      <c r="D35" s="55"/>
      <c r="E35" s="55" t="s">
        <v>219</v>
      </c>
      <c r="F35" s="55">
        <v>7930</v>
      </c>
      <c r="G35" s="55"/>
      <c r="H35" s="55" t="s">
        <v>11</v>
      </c>
      <c r="K35" s="2" t="s">
        <v>172</v>
      </c>
    </row>
    <row r="36" spans="1:11" x14ac:dyDescent="0.25">
      <c r="A36" s="55" t="s">
        <v>220</v>
      </c>
      <c r="B36" s="55"/>
      <c r="C36" s="55"/>
      <c r="D36" s="55"/>
      <c r="E36" s="55"/>
      <c r="F36" s="55"/>
      <c r="G36" s="55"/>
      <c r="H36" s="55" t="s">
        <v>11</v>
      </c>
      <c r="K36" s="2" t="s">
        <v>622</v>
      </c>
    </row>
    <row r="37" spans="1:11" x14ac:dyDescent="0.25">
      <c r="A37" s="55" t="s">
        <v>221</v>
      </c>
      <c r="B37" s="55"/>
      <c r="C37" s="55"/>
      <c r="D37" s="55"/>
      <c r="E37" s="55" t="s">
        <v>222</v>
      </c>
      <c r="F37" s="55">
        <v>18987</v>
      </c>
      <c r="G37" s="55"/>
      <c r="H37" s="55" t="s">
        <v>11</v>
      </c>
      <c r="K37" s="2" t="s">
        <v>212</v>
      </c>
    </row>
    <row r="38" spans="1:11" x14ac:dyDescent="0.25">
      <c r="A38" s="11" t="s">
        <v>223</v>
      </c>
      <c r="B38" s="11" t="s">
        <v>224</v>
      </c>
      <c r="C38" s="11" t="s">
        <v>225</v>
      </c>
      <c r="D38" s="11"/>
      <c r="E38" s="32" t="s">
        <v>226</v>
      </c>
      <c r="F38" s="11">
        <v>12362</v>
      </c>
      <c r="G38" s="11" t="s">
        <v>227</v>
      </c>
      <c r="H38" s="11" t="s">
        <v>10</v>
      </c>
      <c r="K38" s="2" t="s">
        <v>623</v>
      </c>
    </row>
    <row r="39" spans="1:11" x14ac:dyDescent="0.25">
      <c r="A39" s="14" t="s">
        <v>228</v>
      </c>
      <c r="B39" s="2"/>
      <c r="C39" s="2"/>
      <c r="D39" s="2"/>
      <c r="E39" s="2" t="s">
        <v>229</v>
      </c>
      <c r="F39" s="2">
        <v>17958</v>
      </c>
      <c r="G39" s="2"/>
      <c r="H39" s="14" t="s">
        <v>10</v>
      </c>
      <c r="K39" s="2" t="s">
        <v>624</v>
      </c>
    </row>
    <row r="40" spans="1:11" x14ac:dyDescent="0.25">
      <c r="A40" s="11" t="s">
        <v>230</v>
      </c>
      <c r="B40" s="11"/>
      <c r="C40" s="11" t="s">
        <v>231</v>
      </c>
      <c r="D40" s="11"/>
      <c r="E40" s="11" t="s">
        <v>232</v>
      </c>
      <c r="F40" s="11">
        <v>15399</v>
      </c>
      <c r="G40" s="11" t="s">
        <v>233</v>
      </c>
      <c r="H40" s="11" t="s">
        <v>10</v>
      </c>
      <c r="K40" s="2" t="s">
        <v>625</v>
      </c>
    </row>
    <row r="41" spans="1:11" x14ac:dyDescent="0.25">
      <c r="A41" s="11" t="s">
        <v>234</v>
      </c>
      <c r="B41" s="11" t="s">
        <v>224</v>
      </c>
      <c r="C41" s="11" t="s">
        <v>225</v>
      </c>
      <c r="D41" s="11"/>
      <c r="E41" s="11" t="s">
        <v>235</v>
      </c>
      <c r="F41" s="11">
        <v>19751</v>
      </c>
      <c r="G41" s="11" t="s">
        <v>148</v>
      </c>
      <c r="H41" s="11" t="s">
        <v>10</v>
      </c>
      <c r="K41" s="2" t="s">
        <v>128</v>
      </c>
    </row>
    <row r="42" spans="1:11" x14ac:dyDescent="0.25">
      <c r="A42" s="11" t="s">
        <v>236</v>
      </c>
      <c r="B42" s="11" t="s">
        <v>224</v>
      </c>
      <c r="C42" s="11"/>
      <c r="D42" s="11"/>
      <c r="E42" s="11" t="s">
        <v>237</v>
      </c>
      <c r="F42" s="11">
        <v>17970</v>
      </c>
      <c r="G42" s="11" t="s">
        <v>131</v>
      </c>
      <c r="H42" s="11" t="s">
        <v>10</v>
      </c>
      <c r="K42" s="2" t="s">
        <v>132</v>
      </c>
    </row>
    <row r="43" spans="1:11" x14ac:dyDescent="0.25">
      <c r="A43" s="11" t="s">
        <v>238</v>
      </c>
      <c r="B43" s="11" t="s">
        <v>224</v>
      </c>
      <c r="C43" s="11"/>
      <c r="D43" s="11"/>
      <c r="E43" s="11" t="s">
        <v>239</v>
      </c>
      <c r="F43" s="11">
        <v>17971</v>
      </c>
      <c r="G43" s="11" t="s">
        <v>131</v>
      </c>
      <c r="H43" s="11" t="s">
        <v>10</v>
      </c>
      <c r="K43" s="2" t="s">
        <v>149</v>
      </c>
    </row>
    <row r="44" spans="1:11" x14ac:dyDescent="0.25">
      <c r="A44" s="14" t="s">
        <v>240</v>
      </c>
      <c r="B44" s="2" t="s">
        <v>224</v>
      </c>
      <c r="C44" s="2"/>
      <c r="D44" s="2"/>
      <c r="E44" s="2" t="s">
        <v>241</v>
      </c>
      <c r="F44" s="2">
        <v>13136</v>
      </c>
      <c r="G44" s="2" t="s">
        <v>131</v>
      </c>
      <c r="H44" s="14" t="s">
        <v>10</v>
      </c>
      <c r="K44" s="2" t="s">
        <v>223</v>
      </c>
    </row>
    <row r="45" spans="1:11" x14ac:dyDescent="0.25">
      <c r="A45" s="11" t="s">
        <v>242</v>
      </c>
      <c r="B45" s="62">
        <v>45686</v>
      </c>
      <c r="C45" s="11" t="s">
        <v>225</v>
      </c>
      <c r="D45" s="11"/>
      <c r="E45" s="32" t="s">
        <v>243</v>
      </c>
      <c r="F45" s="11">
        <v>20120</v>
      </c>
      <c r="G45" s="11" t="s">
        <v>244</v>
      </c>
      <c r="H45" s="11" t="s">
        <v>10</v>
      </c>
      <c r="K45" s="2" t="s">
        <v>626</v>
      </c>
    </row>
    <row r="46" spans="1:11" x14ac:dyDescent="0.25">
      <c r="A46" s="14" t="s">
        <v>245</v>
      </c>
      <c r="B46" s="2"/>
      <c r="C46" s="2"/>
      <c r="D46" s="2"/>
      <c r="E46" s="34" t="s">
        <v>246</v>
      </c>
      <c r="F46" s="14">
        <v>18868</v>
      </c>
      <c r="G46" s="14" t="s">
        <v>247</v>
      </c>
      <c r="H46" s="14" t="s">
        <v>9</v>
      </c>
      <c r="K46" s="2" t="s">
        <v>236</v>
      </c>
    </row>
    <row r="47" spans="1:11" x14ac:dyDescent="0.25">
      <c r="A47" s="14" t="s">
        <v>248</v>
      </c>
      <c r="B47" s="2"/>
      <c r="C47" s="2"/>
      <c r="D47" s="2"/>
      <c r="E47" s="2" t="s">
        <v>249</v>
      </c>
      <c r="F47" s="14">
        <v>16129</v>
      </c>
      <c r="G47" s="14" t="s">
        <v>250</v>
      </c>
      <c r="H47" s="14" t="s">
        <v>9</v>
      </c>
      <c r="K47" s="2" t="s">
        <v>152</v>
      </c>
    </row>
    <row r="48" spans="1:11" x14ac:dyDescent="0.25">
      <c r="A48" s="111" t="s">
        <v>251</v>
      </c>
      <c r="B48" s="2"/>
      <c r="C48" s="2"/>
      <c r="D48" s="2"/>
      <c r="E48" s="2" t="s">
        <v>252</v>
      </c>
      <c r="F48" s="14">
        <v>5162</v>
      </c>
      <c r="G48" s="14" t="s">
        <v>253</v>
      </c>
      <c r="H48" s="14" t="s">
        <v>9</v>
      </c>
      <c r="K48" s="2" t="s">
        <v>183</v>
      </c>
    </row>
    <row r="49" spans="1:11" x14ac:dyDescent="0.25">
      <c r="A49" s="111" t="s">
        <v>254</v>
      </c>
      <c r="B49" s="2"/>
      <c r="C49" s="2"/>
      <c r="D49" s="2"/>
      <c r="E49" s="2" t="s">
        <v>255</v>
      </c>
      <c r="F49" s="14">
        <v>19577</v>
      </c>
      <c r="G49" s="14" t="s">
        <v>253</v>
      </c>
      <c r="H49" s="14" t="s">
        <v>9</v>
      </c>
      <c r="K49" s="2" t="s">
        <v>497</v>
      </c>
    </row>
    <row r="50" spans="1:11" x14ac:dyDescent="0.25">
      <c r="A50" s="14" t="s">
        <v>256</v>
      </c>
      <c r="B50" s="2"/>
      <c r="C50" s="2"/>
      <c r="D50" s="2"/>
      <c r="E50" s="34" t="s">
        <v>257</v>
      </c>
      <c r="F50" s="14">
        <v>16125</v>
      </c>
      <c r="G50" s="14" t="s">
        <v>258</v>
      </c>
      <c r="H50" s="14" t="s">
        <v>9</v>
      </c>
      <c r="K50" s="2" t="s">
        <v>210</v>
      </c>
    </row>
    <row r="51" spans="1:11" x14ac:dyDescent="0.25">
      <c r="A51" s="14" t="s">
        <v>259</v>
      </c>
      <c r="B51" s="2"/>
      <c r="C51" s="2"/>
      <c r="D51" s="2"/>
      <c r="E51" s="34" t="s">
        <v>260</v>
      </c>
      <c r="F51" s="14">
        <v>18604</v>
      </c>
      <c r="G51" s="14" t="s">
        <v>138</v>
      </c>
      <c r="H51" s="14" t="s">
        <v>10</v>
      </c>
      <c r="K51" s="2" t="s">
        <v>228</v>
      </c>
    </row>
    <row r="52" spans="1:11" x14ac:dyDescent="0.25">
      <c r="A52" s="85"/>
      <c r="B52" s="84"/>
      <c r="C52" s="2"/>
      <c r="D52" s="2"/>
      <c r="E52" s="2"/>
      <c r="F52" s="2"/>
      <c r="G52" s="2"/>
      <c r="H52" s="2"/>
      <c r="K52" s="2" t="s">
        <v>195</v>
      </c>
    </row>
    <row r="53" spans="1:11" x14ac:dyDescent="0.25">
      <c r="A53" s="85"/>
      <c r="B53" s="84"/>
      <c r="C53" s="2"/>
      <c r="D53" s="2"/>
      <c r="E53" s="2"/>
      <c r="F53" s="2"/>
      <c r="G53" s="2"/>
      <c r="H53" s="2"/>
      <c r="K53" s="2" t="s">
        <v>251</v>
      </c>
    </row>
    <row r="54" spans="1:11" x14ac:dyDescent="0.25">
      <c r="A54" s="85"/>
      <c r="B54" s="84"/>
      <c r="C54" s="2"/>
      <c r="D54" s="2"/>
      <c r="E54" s="2"/>
      <c r="F54" s="2"/>
      <c r="G54" s="2"/>
      <c r="H54" s="2"/>
      <c r="K54" s="2" t="s">
        <v>192</v>
      </c>
    </row>
    <row r="55" spans="1:11" x14ac:dyDescent="0.25">
      <c r="A55" s="83" t="s">
        <v>428</v>
      </c>
      <c r="B55" s="2"/>
      <c r="C55" s="2"/>
      <c r="D55" s="2"/>
      <c r="E55" s="2"/>
      <c r="F55" s="2"/>
      <c r="G55" s="2"/>
      <c r="H55" s="2"/>
      <c r="K55" s="2" t="s">
        <v>216</v>
      </c>
    </row>
    <row r="56" spans="1:11" x14ac:dyDescent="0.25">
      <c r="A56" s="112" t="s">
        <v>429</v>
      </c>
      <c r="B56" s="84">
        <v>45715</v>
      </c>
      <c r="C56" s="2" t="s">
        <v>433</v>
      </c>
      <c r="D56" s="2"/>
      <c r="E56" s="2"/>
      <c r="F56" s="2"/>
      <c r="G56" s="2"/>
      <c r="H56" s="2"/>
      <c r="K56" s="2" t="s">
        <v>503</v>
      </c>
    </row>
    <row r="57" spans="1:11" x14ac:dyDescent="0.25">
      <c r="A57" s="83" t="s">
        <v>430</v>
      </c>
      <c r="B57" s="2"/>
      <c r="C57" s="2"/>
      <c r="D57" s="2"/>
      <c r="E57" s="2"/>
      <c r="F57" s="2"/>
      <c r="G57" s="2"/>
      <c r="H57" s="2"/>
      <c r="K57" s="2" t="s">
        <v>627</v>
      </c>
    </row>
    <row r="58" spans="1:11" x14ac:dyDescent="0.25">
      <c r="A58" s="85" t="s">
        <v>431</v>
      </c>
      <c r="B58" s="84">
        <v>45715</v>
      </c>
      <c r="C58" s="2" t="s">
        <v>433</v>
      </c>
      <c r="D58" s="2"/>
      <c r="E58" s="2"/>
      <c r="F58" s="2"/>
      <c r="G58" s="2"/>
      <c r="H58" s="2"/>
      <c r="K58" s="2" t="s">
        <v>628</v>
      </c>
    </row>
    <row r="59" spans="1:11" x14ac:dyDescent="0.25">
      <c r="A59" s="85" t="s">
        <v>432</v>
      </c>
      <c r="B59" s="84">
        <v>45715</v>
      </c>
      <c r="C59" s="2" t="s">
        <v>433</v>
      </c>
      <c r="D59" s="2"/>
      <c r="E59" s="2"/>
      <c r="F59" s="2"/>
      <c r="G59" s="2"/>
      <c r="H59" s="2"/>
      <c r="K59" s="2" t="s">
        <v>629</v>
      </c>
    </row>
    <row r="60" spans="1:11" x14ac:dyDescent="0.25">
      <c r="A60" s="2"/>
      <c r="B60" s="2"/>
      <c r="C60" s="2"/>
      <c r="D60" s="2"/>
      <c r="E60" s="2"/>
      <c r="F60" s="2"/>
      <c r="G60" s="2"/>
      <c r="H60" s="2"/>
      <c r="K60" s="2" t="s">
        <v>630</v>
      </c>
    </row>
    <row r="61" spans="1:11" x14ac:dyDescent="0.25">
      <c r="A61" s="98" t="s">
        <v>484</v>
      </c>
      <c r="B61" s="2"/>
      <c r="C61" s="2"/>
      <c r="D61" s="2"/>
      <c r="E61" s="2"/>
      <c r="F61" s="2"/>
      <c r="G61" s="2"/>
      <c r="H61" s="2"/>
      <c r="K61" s="2" t="s">
        <v>214</v>
      </c>
    </row>
    <row r="62" spans="1:11" x14ac:dyDescent="0.25">
      <c r="A62" s="107" t="s">
        <v>208</v>
      </c>
      <c r="B62" s="84" t="s">
        <v>485</v>
      </c>
      <c r="C62" s="84"/>
      <c r="D62" s="84"/>
      <c r="E62" s="84"/>
      <c r="F62" s="84"/>
      <c r="G62" s="84"/>
      <c r="H62" s="84"/>
      <c r="K62" s="2" t="s">
        <v>648</v>
      </c>
    </row>
    <row r="63" spans="1:11" x14ac:dyDescent="0.25">
      <c r="A63" s="107" t="s">
        <v>486</v>
      </c>
      <c r="B63" s="84" t="s">
        <v>487</v>
      </c>
      <c r="C63" s="84"/>
      <c r="D63" s="84"/>
      <c r="E63" s="84"/>
      <c r="F63" s="84"/>
      <c r="G63" s="84"/>
      <c r="H63" s="84"/>
      <c r="K63" s="2" t="s">
        <v>154</v>
      </c>
    </row>
    <row r="64" spans="1:11" x14ac:dyDescent="0.25">
      <c r="A64" s="107" t="s">
        <v>210</v>
      </c>
      <c r="B64" s="84" t="s">
        <v>488</v>
      </c>
      <c r="C64" s="84"/>
      <c r="D64" s="84"/>
      <c r="E64" s="84"/>
      <c r="F64" s="84"/>
      <c r="G64" s="84"/>
      <c r="H64" s="84"/>
      <c r="K64" s="2" t="s">
        <v>230</v>
      </c>
    </row>
    <row r="65" spans="1:11" x14ac:dyDescent="0.25">
      <c r="A65" s="107" t="s">
        <v>202</v>
      </c>
      <c r="B65" s="84" t="s">
        <v>489</v>
      </c>
      <c r="C65" s="84"/>
      <c r="D65" s="84"/>
      <c r="E65" s="84"/>
      <c r="F65" s="84"/>
      <c r="G65" s="84"/>
      <c r="H65" s="84"/>
      <c r="K65" s="2" t="s">
        <v>501</v>
      </c>
    </row>
    <row r="66" spans="1:11" x14ac:dyDescent="0.25">
      <c r="A66" s="107" t="s">
        <v>490</v>
      </c>
      <c r="B66" s="84" t="s">
        <v>491</v>
      </c>
      <c r="C66" s="84"/>
      <c r="D66" s="84"/>
      <c r="E66" s="84"/>
      <c r="F66" s="84"/>
      <c r="G66" s="84"/>
      <c r="H66" s="84"/>
      <c r="K66" s="2" t="s">
        <v>245</v>
      </c>
    </row>
    <row r="67" spans="1:11" x14ac:dyDescent="0.25">
      <c r="A67" s="107" t="s">
        <v>206</v>
      </c>
      <c r="B67" s="84" t="s">
        <v>492</v>
      </c>
      <c r="C67" s="84"/>
      <c r="D67" s="84"/>
      <c r="E67" s="84"/>
      <c r="F67" s="84"/>
      <c r="G67" s="84"/>
      <c r="H67" s="84"/>
      <c r="K67" s="2" t="s">
        <v>135</v>
      </c>
    </row>
    <row r="68" spans="1:11" x14ac:dyDescent="0.25">
      <c r="A68" s="84" t="s">
        <v>214</v>
      </c>
      <c r="B68" s="84" t="s">
        <v>493</v>
      </c>
      <c r="C68" s="84"/>
      <c r="D68" s="84"/>
      <c r="E68" s="84"/>
      <c r="F68" s="84"/>
      <c r="G68" s="84"/>
      <c r="H68" s="84"/>
      <c r="K68" s="2" t="s">
        <v>631</v>
      </c>
    </row>
    <row r="69" spans="1:11" x14ac:dyDescent="0.25">
      <c r="A69" s="107" t="s">
        <v>212</v>
      </c>
      <c r="B69" s="84" t="s">
        <v>494</v>
      </c>
      <c r="C69" s="84"/>
      <c r="D69" s="84"/>
      <c r="E69" s="84"/>
      <c r="F69" s="84"/>
      <c r="G69" s="84"/>
      <c r="H69" s="84"/>
      <c r="K69" s="2" t="s">
        <v>159</v>
      </c>
    </row>
    <row r="70" spans="1:11" x14ac:dyDescent="0.25">
      <c r="A70" s="107" t="s">
        <v>495</v>
      </c>
      <c r="B70" s="84" t="s">
        <v>496</v>
      </c>
      <c r="C70" s="84"/>
      <c r="D70" s="84"/>
      <c r="E70" s="84"/>
      <c r="F70" s="84"/>
      <c r="G70" s="84"/>
      <c r="H70" s="84"/>
      <c r="K70" s="2" t="s">
        <v>142</v>
      </c>
    </row>
    <row r="71" spans="1:11" x14ac:dyDescent="0.25">
      <c r="A71" s="84" t="s">
        <v>497</v>
      </c>
      <c r="B71" s="84" t="s">
        <v>498</v>
      </c>
      <c r="C71" s="84"/>
      <c r="D71" s="84"/>
      <c r="E71" s="84"/>
      <c r="F71" s="84"/>
      <c r="G71" s="84"/>
      <c r="H71" s="84"/>
      <c r="K71" s="2" t="s">
        <v>256</v>
      </c>
    </row>
    <row r="72" spans="1:11" x14ac:dyDescent="0.25">
      <c r="A72" s="84" t="s">
        <v>499</v>
      </c>
      <c r="B72" s="84" t="s">
        <v>500</v>
      </c>
      <c r="C72" s="84"/>
      <c r="D72" s="84"/>
      <c r="E72" s="84"/>
      <c r="F72" s="84"/>
      <c r="G72" s="84"/>
      <c r="H72" s="84"/>
      <c r="K72" s="2" t="s">
        <v>495</v>
      </c>
    </row>
    <row r="73" spans="1:11" x14ac:dyDescent="0.25">
      <c r="A73" s="107" t="s">
        <v>501</v>
      </c>
      <c r="B73" s="84" t="s">
        <v>502</v>
      </c>
      <c r="C73" s="84"/>
      <c r="D73" s="84"/>
      <c r="E73" s="84"/>
      <c r="F73" s="84"/>
      <c r="G73" s="84"/>
      <c r="H73" s="84"/>
      <c r="K73" s="2" t="s">
        <v>632</v>
      </c>
    </row>
    <row r="74" spans="1:11" x14ac:dyDescent="0.25">
      <c r="A74" s="84" t="s">
        <v>503</v>
      </c>
      <c r="B74" s="84" t="s">
        <v>504</v>
      </c>
      <c r="C74" s="84"/>
      <c r="D74" s="84"/>
      <c r="E74" s="84"/>
      <c r="F74" s="84"/>
      <c r="G74" s="84"/>
      <c r="H74" s="84"/>
      <c r="K74" s="2" t="s">
        <v>633</v>
      </c>
    </row>
    <row r="75" spans="1:11" x14ac:dyDescent="0.25">
      <c r="A75" s="2"/>
      <c r="B75" s="2"/>
      <c r="C75" s="2"/>
      <c r="D75" s="2"/>
      <c r="E75" s="2"/>
      <c r="F75" s="2"/>
      <c r="G75" s="2"/>
      <c r="H75" s="2"/>
      <c r="K75" s="2" t="s">
        <v>139</v>
      </c>
    </row>
    <row r="76" spans="1:11" x14ac:dyDescent="0.25">
      <c r="A76" s="100" t="s">
        <v>505</v>
      </c>
      <c r="B76" s="2"/>
      <c r="C76" s="2"/>
      <c r="D76" s="2"/>
      <c r="E76" s="2"/>
      <c r="F76" s="2"/>
      <c r="G76" s="2"/>
      <c r="H76" s="2"/>
      <c r="K76" s="2" t="s">
        <v>634</v>
      </c>
    </row>
    <row r="77" spans="1:11" x14ac:dyDescent="0.25">
      <c r="A77" s="99" t="s">
        <v>506</v>
      </c>
      <c r="B77" s="2"/>
      <c r="C77" s="2"/>
      <c r="D77" s="2"/>
      <c r="E77" s="113"/>
      <c r="F77" s="2"/>
      <c r="G77" s="2">
        <v>404675548</v>
      </c>
      <c r="H77" s="2"/>
      <c r="K77" s="2" t="s">
        <v>185</v>
      </c>
    </row>
    <row r="78" spans="1:11" x14ac:dyDescent="0.25">
      <c r="A78" s="99" t="s">
        <v>507</v>
      </c>
      <c r="B78" s="2"/>
      <c r="C78" s="2"/>
      <c r="D78" s="2"/>
      <c r="E78" s="2"/>
      <c r="F78" s="2"/>
      <c r="G78" s="2"/>
      <c r="H78" s="2"/>
      <c r="K78" s="2" t="s">
        <v>248</v>
      </c>
    </row>
    <row r="79" spans="1:11" x14ac:dyDescent="0.25">
      <c r="A79" s="99" t="s">
        <v>508</v>
      </c>
      <c r="B79" s="2"/>
      <c r="C79" s="2"/>
      <c r="D79" s="2"/>
      <c r="E79" s="2"/>
      <c r="F79" s="2"/>
      <c r="G79" s="2"/>
      <c r="H79" s="2"/>
      <c r="K79" s="2" t="s">
        <v>635</v>
      </c>
    </row>
    <row r="80" spans="1:11" x14ac:dyDescent="0.25">
      <c r="A80" s="99" t="s">
        <v>509</v>
      </c>
      <c r="B80" s="2"/>
      <c r="C80" s="2"/>
      <c r="D80" s="2"/>
      <c r="E80" s="2"/>
      <c r="F80" s="2"/>
      <c r="G80" s="2"/>
      <c r="H80" s="2"/>
    </row>
    <row r="81" spans="1:8" x14ac:dyDescent="0.25">
      <c r="A81" s="99" t="s">
        <v>510</v>
      </c>
      <c r="B81" s="2"/>
      <c r="C81" s="2"/>
      <c r="D81" s="2"/>
      <c r="E81" s="2"/>
      <c r="F81" s="2"/>
      <c r="G81" s="2"/>
      <c r="H81" s="2"/>
    </row>
    <row r="82" spans="1:8" x14ac:dyDescent="0.25">
      <c r="A82" s="99" t="s">
        <v>511</v>
      </c>
      <c r="B82" s="2"/>
      <c r="C82" s="2"/>
      <c r="D82" s="2"/>
      <c r="E82" s="2"/>
      <c r="F82" s="2"/>
      <c r="G82" s="2"/>
      <c r="H82" s="2"/>
    </row>
    <row r="83" spans="1:8" x14ac:dyDescent="0.25">
      <c r="A83" s="99" t="s">
        <v>512</v>
      </c>
      <c r="B83" s="2"/>
      <c r="C83" s="2"/>
      <c r="D83" s="2"/>
      <c r="E83" s="2"/>
      <c r="F83" s="2"/>
      <c r="G83" s="2"/>
      <c r="H83" s="2"/>
    </row>
    <row r="84" spans="1:8" x14ac:dyDescent="0.25">
      <c r="A84" s="99" t="s">
        <v>513</v>
      </c>
      <c r="B84" s="2"/>
      <c r="C84" s="7"/>
      <c r="D84" s="2"/>
      <c r="E84" s="2"/>
      <c r="F84" s="2"/>
      <c r="G84" s="2"/>
      <c r="H84" s="2"/>
    </row>
    <row r="85" spans="1:8" x14ac:dyDescent="0.25">
      <c r="A85" s="99" t="s">
        <v>514</v>
      </c>
      <c r="B85" s="2"/>
      <c r="C85" s="7"/>
      <c r="D85" s="2"/>
      <c r="E85" s="2"/>
      <c r="F85" s="2"/>
      <c r="G85" s="2"/>
      <c r="H85" s="2"/>
    </row>
    <row r="86" spans="1:8" x14ac:dyDescent="0.25">
      <c r="A86" s="2"/>
      <c r="B86" s="2"/>
      <c r="C86" s="7"/>
      <c r="D86" s="2"/>
      <c r="E86" s="2"/>
      <c r="F86" s="2"/>
      <c r="G86" s="2"/>
      <c r="H86" s="2"/>
    </row>
    <row r="87" spans="1:8" x14ac:dyDescent="0.25">
      <c r="A87" s="98" t="s">
        <v>530</v>
      </c>
      <c r="B87" s="2"/>
      <c r="C87" s="7"/>
      <c r="D87" s="2"/>
      <c r="E87" s="2"/>
      <c r="F87" s="2"/>
      <c r="G87" s="2"/>
      <c r="H87" s="2"/>
    </row>
    <row r="88" spans="1:8" x14ac:dyDescent="0.25">
      <c r="A88" s="2" t="s">
        <v>529</v>
      </c>
      <c r="B88" s="2" t="s">
        <v>586</v>
      </c>
      <c r="C88" s="7" t="s">
        <v>587</v>
      </c>
      <c r="D88" s="2"/>
      <c r="E88" s="2"/>
      <c r="F88" s="2"/>
      <c r="G88" s="2"/>
      <c r="H88" s="2"/>
    </row>
    <row r="89" spans="1:8" x14ac:dyDescent="0.25">
      <c r="A89" s="2"/>
      <c r="B89" s="2"/>
      <c r="C89" s="7"/>
      <c r="D89" s="2"/>
      <c r="E89" s="2"/>
      <c r="F89" s="2"/>
      <c r="G89" s="2"/>
      <c r="H89" s="2"/>
    </row>
    <row r="90" spans="1:8" x14ac:dyDescent="0.25">
      <c r="A90" s="98" t="s">
        <v>594</v>
      </c>
      <c r="B90" s="2"/>
      <c r="C90" s="7"/>
      <c r="D90" s="2"/>
      <c r="E90" s="2"/>
      <c r="F90" s="2"/>
      <c r="G90" s="2"/>
      <c r="H90" s="2"/>
    </row>
    <row r="91" spans="1:8" x14ac:dyDescent="0.25">
      <c r="A91" s="2" t="s">
        <v>595</v>
      </c>
      <c r="B91" s="2"/>
      <c r="C91" s="7"/>
      <c r="D91" s="2"/>
      <c r="E91" s="2"/>
      <c r="F91" s="2"/>
      <c r="G91" s="2"/>
      <c r="H91" s="2"/>
    </row>
    <row r="92" spans="1:8" x14ac:dyDescent="0.25">
      <c r="A92" s="2" t="s">
        <v>596</v>
      </c>
      <c r="B92" s="2"/>
      <c r="C92" s="7"/>
      <c r="D92" s="2"/>
      <c r="E92" s="2"/>
      <c r="F92" s="2"/>
      <c r="G92" s="2"/>
      <c r="H92" s="2"/>
    </row>
    <row r="93" spans="1:8" x14ac:dyDescent="0.25">
      <c r="A93" s="2" t="s">
        <v>597</v>
      </c>
      <c r="B93" s="2"/>
      <c r="C93" s="7"/>
      <c r="D93" s="2"/>
      <c r="E93" s="2"/>
      <c r="F93" s="2"/>
      <c r="G93" s="2"/>
      <c r="H93" s="2"/>
    </row>
    <row r="94" spans="1:8" x14ac:dyDescent="0.25">
      <c r="A94" s="2" t="s">
        <v>598</v>
      </c>
      <c r="B94" s="2"/>
      <c r="C94" s="7"/>
      <c r="D94" s="2"/>
      <c r="E94" s="2"/>
      <c r="F94" s="2"/>
      <c r="G94" s="2"/>
      <c r="H94" s="2"/>
    </row>
    <row r="95" spans="1:8" x14ac:dyDescent="0.25">
      <c r="A95" s="2" t="s">
        <v>599</v>
      </c>
      <c r="B95" s="2"/>
      <c r="C95" s="2"/>
      <c r="D95" s="2"/>
      <c r="E95" s="2"/>
      <c r="F95" s="2"/>
      <c r="G95" s="2"/>
      <c r="H95" s="2"/>
    </row>
    <row r="96" spans="1:8" x14ac:dyDescent="0.25">
      <c r="A96" s="2" t="s">
        <v>600</v>
      </c>
      <c r="B96" s="2"/>
      <c r="C96" s="2"/>
      <c r="D96" s="2"/>
      <c r="E96" s="2"/>
      <c r="F96" s="2"/>
      <c r="G96" s="2"/>
      <c r="H96" s="2"/>
    </row>
    <row r="97" spans="1:8" x14ac:dyDescent="0.25">
      <c r="A97" s="2" t="s">
        <v>601</v>
      </c>
      <c r="B97" s="2"/>
      <c r="C97" s="2"/>
      <c r="D97" s="2"/>
      <c r="E97" s="2"/>
      <c r="F97" s="2"/>
      <c r="G97" s="2"/>
      <c r="H97" s="2"/>
    </row>
    <row r="98" spans="1:8" x14ac:dyDescent="0.25">
      <c r="A98" s="2" t="s">
        <v>602</v>
      </c>
      <c r="B98" s="2"/>
      <c r="C98" s="2"/>
      <c r="D98" s="2"/>
      <c r="E98" s="2"/>
      <c r="F98" s="2"/>
      <c r="G98" s="2"/>
      <c r="H98" s="2"/>
    </row>
    <row r="102" spans="1:8" x14ac:dyDescent="0.25">
      <c r="C102" s="9" t="s">
        <v>76</v>
      </c>
      <c r="D102">
        <v>1341.48</v>
      </c>
    </row>
    <row r="103" spans="1:8" x14ac:dyDescent="0.25">
      <c r="C103" s="9" t="s">
        <v>73</v>
      </c>
      <c r="D103">
        <v>1303.6400000000001</v>
      </c>
    </row>
    <row r="104" spans="1:8" x14ac:dyDescent="0.25">
      <c r="C104" s="9" t="s">
        <v>71</v>
      </c>
      <c r="D104">
        <v>1066.71</v>
      </c>
    </row>
    <row r="105" spans="1:8" x14ac:dyDescent="0.25">
      <c r="C105" s="9" t="s">
        <v>72</v>
      </c>
      <c r="D105">
        <v>1019.28</v>
      </c>
    </row>
    <row r="106" spans="1:8" x14ac:dyDescent="0.25">
      <c r="C106" s="9" t="s">
        <v>74</v>
      </c>
      <c r="D106">
        <v>1015.83</v>
      </c>
    </row>
    <row r="107" spans="1:8" x14ac:dyDescent="0.25">
      <c r="C107" s="9" t="s">
        <v>75</v>
      </c>
      <c r="D107">
        <v>1010.66</v>
      </c>
    </row>
    <row r="108" spans="1:8" x14ac:dyDescent="0.25">
      <c r="C108" s="9" t="s">
        <v>914</v>
      </c>
      <c r="D108">
        <v>932.39</v>
      </c>
    </row>
    <row r="109" spans="1:8" x14ac:dyDescent="0.25">
      <c r="C109" s="9" t="s">
        <v>81</v>
      </c>
      <c r="D109">
        <v>886.69</v>
      </c>
    </row>
    <row r="110" spans="1:8" x14ac:dyDescent="0.25">
      <c r="C110" s="9" t="s">
        <v>82</v>
      </c>
      <c r="D110">
        <v>857.7</v>
      </c>
    </row>
    <row r="111" spans="1:8" x14ac:dyDescent="0.25">
      <c r="C111" s="9" t="s">
        <v>83</v>
      </c>
      <c r="D111">
        <v>714.4</v>
      </c>
    </row>
    <row r="112" spans="1:8" x14ac:dyDescent="0.25">
      <c r="C112" s="9" t="s">
        <v>1156</v>
      </c>
      <c r="D112">
        <v>117.28</v>
      </c>
    </row>
    <row r="113" spans="4:5" x14ac:dyDescent="0.25">
      <c r="D113">
        <f>SUM(D102:D112)</f>
        <v>10266.060000000001</v>
      </c>
      <c r="E113" s="132">
        <f>SUM(D113/52)</f>
        <v>197.4242307692308</v>
      </c>
    </row>
  </sheetData>
  <autoFilter ref="K1:N1" xr:uid="{DA6FB3F7-C066-4C9A-B73B-4ED8DFE2C7F6}"/>
  <sortState xmlns:xlrd2="http://schemas.microsoft.com/office/spreadsheetml/2017/richdata2" ref="C102:D112">
    <sortCondition descending="1" ref="D102:D112"/>
  </sortState>
  <phoneticPr fontId="6" type="noConversion"/>
  <hyperlinks>
    <hyperlink ref="E3" r:id="rId1" xr:uid="{4ADBE5A5-772B-4B2E-960B-BBB650901A21}"/>
    <hyperlink ref="E5" r:id="rId2" xr:uid="{F2755D34-C475-4CED-9A0E-502DFA52B26F}"/>
    <hyperlink ref="E8" r:id="rId3" xr:uid="{B555BBCE-231D-42AA-A109-32C0641B93E5}"/>
    <hyperlink ref="E15" r:id="rId4" xr:uid="{3AEC3F33-92EF-471F-9456-ADB54F7E802D}"/>
    <hyperlink ref="E16" r:id="rId5" xr:uid="{FD97ED6F-5DDB-40F6-95BD-0B60446ACA7A}"/>
    <hyperlink ref="E4" r:id="rId6" xr:uid="{2B1E62DB-4F8C-4CFD-824C-C54EB2E1AA9F}"/>
    <hyperlink ref="E6" r:id="rId7" xr:uid="{BF3ECA34-4ACB-4D47-BC7B-576FBBC0E10B}"/>
    <hyperlink ref="E7" r:id="rId8" xr:uid="{18B3F603-D07A-4200-945A-70C2BA178926}"/>
    <hyperlink ref="E9" r:id="rId9" xr:uid="{A1D71366-6422-47AC-8AEB-3CAC8E493172}"/>
    <hyperlink ref="E10" r:id="rId10" xr:uid="{9FC50E05-7885-4943-9288-ABAFF318B9FD}"/>
    <hyperlink ref="E11" r:id="rId11" xr:uid="{DF22A00F-0453-47C5-95B3-8DC915E22F66}"/>
    <hyperlink ref="E12" r:id="rId12" xr:uid="{35BAFBBA-1AED-42F7-9B84-A1E129B796FA}"/>
    <hyperlink ref="E13" r:id="rId13" xr:uid="{D020513F-B62F-493D-9B33-0A4D03333284}"/>
    <hyperlink ref="E14" r:id="rId14" xr:uid="{908DF4A5-215E-474C-9A28-3387C33A9EEE}"/>
    <hyperlink ref="E17" r:id="rId15" xr:uid="{4AE73F56-B9BE-498B-B2D0-457134810854}"/>
    <hyperlink ref="E18" r:id="rId16" xr:uid="{2FB8B299-F4F8-4FD4-AE15-BD08370F379F}"/>
    <hyperlink ref="E19" r:id="rId17" xr:uid="{044BA7C4-AC5C-44DD-97B7-A0256307B0D5}"/>
    <hyperlink ref="E21" r:id="rId18" xr:uid="{7A5F5B87-1F7A-4122-87BF-BAB095F7B25C}"/>
    <hyperlink ref="E20" r:id="rId19" xr:uid="{6DED7E78-EBCA-425C-9EE1-359EFCB312FA}"/>
    <hyperlink ref="E23" r:id="rId20" display="mailto:april.alexandra.kane@gmail.com" xr:uid="{80ED8026-13BE-438D-91DF-93CE26786398}"/>
    <hyperlink ref="E24" r:id="rId21" xr:uid="{E4E9CC59-60A5-4473-B711-3330CF0EA056}"/>
    <hyperlink ref="E25" r:id="rId22" display="mailto:matthewclay5@gmail.com" xr:uid="{B0B43D95-434D-4960-8C84-6433FCC4C381}"/>
    <hyperlink ref="E38" r:id="rId23" xr:uid="{F6F87133-19DE-408F-90D8-8A34E22A97F6}"/>
    <hyperlink ref="E45" r:id="rId24" xr:uid="{35C51D49-FB0C-4D8A-8CCB-739A8EECD247}"/>
    <hyperlink ref="E50" r:id="rId25" xr:uid="{8D0687C2-C352-445F-A98B-D693E87FD865}"/>
    <hyperlink ref="E46" r:id="rId26" xr:uid="{12CDA4E1-0B71-437F-97CF-1D507ECD7C9D}"/>
    <hyperlink ref="E51" r:id="rId27" xr:uid="{61F2105F-5AC1-4D87-92C3-126CC48A54A4}"/>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81B0-3A60-4594-A51C-6D786BCADD14}">
  <dimension ref="A1:D14"/>
  <sheetViews>
    <sheetView topLeftCell="A10" workbookViewId="0">
      <selection activeCell="B7" sqref="B7"/>
    </sheetView>
  </sheetViews>
  <sheetFormatPr defaultColWidth="63.42578125" defaultRowHeight="15" x14ac:dyDescent="0.25"/>
  <cols>
    <col min="1" max="1" width="31.85546875" bestFit="1" customWidth="1"/>
    <col min="2" max="2" width="61.85546875" bestFit="1" customWidth="1"/>
    <col min="3" max="3" width="63" bestFit="1" customWidth="1"/>
    <col min="4" max="4" width="60.28515625" bestFit="1" customWidth="1"/>
  </cols>
  <sheetData>
    <row r="1" spans="1:4" ht="18.75" x14ac:dyDescent="0.3">
      <c r="A1" s="165" t="s">
        <v>934</v>
      </c>
      <c r="B1" s="166" t="s">
        <v>935</v>
      </c>
      <c r="C1" s="166" t="s">
        <v>936</v>
      </c>
      <c r="D1" s="166" t="s">
        <v>937</v>
      </c>
    </row>
    <row r="2" spans="1:4" ht="60" x14ac:dyDescent="0.25">
      <c r="A2" s="98" t="s">
        <v>938</v>
      </c>
      <c r="B2" s="23" t="s">
        <v>939</v>
      </c>
      <c r="C2" s="23" t="s">
        <v>940</v>
      </c>
      <c r="D2" s="23" t="s">
        <v>1322</v>
      </c>
    </row>
    <row r="3" spans="1:4" ht="45" x14ac:dyDescent="0.25">
      <c r="A3" s="98" t="s">
        <v>941</v>
      </c>
      <c r="B3" s="23" t="s">
        <v>942</v>
      </c>
      <c r="C3" s="23" t="s">
        <v>943</v>
      </c>
      <c r="D3" s="23" t="s">
        <v>1323</v>
      </c>
    </row>
    <row r="4" spans="1:4" ht="45" x14ac:dyDescent="0.25">
      <c r="A4" s="98" t="s">
        <v>944</v>
      </c>
      <c r="B4" s="23" t="s">
        <v>945</v>
      </c>
      <c r="C4" s="23" t="s">
        <v>946</v>
      </c>
      <c r="D4" s="23" t="s">
        <v>947</v>
      </c>
    </row>
    <row r="5" spans="1:4" ht="45" x14ac:dyDescent="0.25">
      <c r="A5" s="98" t="s">
        <v>948</v>
      </c>
      <c r="B5" s="23" t="s">
        <v>949</v>
      </c>
      <c r="C5" s="23" t="s">
        <v>950</v>
      </c>
      <c r="D5" s="23" t="s">
        <v>951</v>
      </c>
    </row>
    <row r="6" spans="1:4" ht="45" x14ac:dyDescent="0.25">
      <c r="A6" s="98" t="s">
        <v>952</v>
      </c>
      <c r="B6" s="23" t="s">
        <v>953</v>
      </c>
      <c r="C6" s="23" t="s">
        <v>954</v>
      </c>
      <c r="D6" s="23" t="s">
        <v>955</v>
      </c>
    </row>
    <row r="7" spans="1:4" ht="45" x14ac:dyDescent="0.25">
      <c r="A7" s="98" t="s">
        <v>956</v>
      </c>
      <c r="B7" s="23" t="s">
        <v>957</v>
      </c>
      <c r="C7" s="23" t="s">
        <v>958</v>
      </c>
      <c r="D7" s="23" t="s">
        <v>959</v>
      </c>
    </row>
    <row r="8" spans="1:4" ht="45" x14ac:dyDescent="0.25">
      <c r="A8" s="98" t="s">
        <v>960</v>
      </c>
      <c r="B8" s="23" t="s">
        <v>961</v>
      </c>
      <c r="C8" s="23" t="s">
        <v>962</v>
      </c>
      <c r="D8" s="23" t="s">
        <v>963</v>
      </c>
    </row>
    <row r="9" spans="1:4" ht="45" x14ac:dyDescent="0.25">
      <c r="A9" s="98" t="s">
        <v>964</v>
      </c>
      <c r="B9" s="23" t="s">
        <v>965</v>
      </c>
      <c r="C9" s="23" t="s">
        <v>966</v>
      </c>
      <c r="D9" s="23" t="s">
        <v>967</v>
      </c>
    </row>
    <row r="10" spans="1:4" ht="45" x14ac:dyDescent="0.25">
      <c r="A10" s="98" t="s">
        <v>968</v>
      </c>
      <c r="B10" s="23" t="s">
        <v>969</v>
      </c>
      <c r="C10" s="23" t="s">
        <v>970</v>
      </c>
      <c r="D10" s="23" t="s">
        <v>971</v>
      </c>
    </row>
    <row r="11" spans="1:4" ht="30" x14ac:dyDescent="0.25">
      <c r="A11" s="98" t="s">
        <v>972</v>
      </c>
      <c r="B11" s="23" t="s">
        <v>973</v>
      </c>
      <c r="C11" s="23" t="s">
        <v>974</v>
      </c>
      <c r="D11" s="23" t="s">
        <v>975</v>
      </c>
    </row>
    <row r="12" spans="1:4" ht="45" x14ac:dyDescent="0.25">
      <c r="A12" s="98" t="s">
        <v>976</v>
      </c>
      <c r="B12" s="23" t="s">
        <v>977</v>
      </c>
      <c r="C12" s="23" t="s">
        <v>978</v>
      </c>
      <c r="D12" s="23" t="s">
        <v>979</v>
      </c>
    </row>
    <row r="13" spans="1:4" ht="45" x14ac:dyDescent="0.25">
      <c r="A13" s="98" t="s">
        <v>980</v>
      </c>
      <c r="B13" s="23" t="s">
        <v>981</v>
      </c>
      <c r="C13" s="23" t="s">
        <v>982</v>
      </c>
      <c r="D13" s="23" t="s">
        <v>983</v>
      </c>
    </row>
    <row r="14" spans="1:4" ht="45" x14ac:dyDescent="0.25">
      <c r="A14" s="98" t="s">
        <v>984</v>
      </c>
      <c r="B14" s="23" t="s">
        <v>985</v>
      </c>
      <c r="C14" s="23" t="s">
        <v>986</v>
      </c>
      <c r="D14" s="23" t="s">
        <v>987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A7040-6A47-43FE-89D5-B88F5B9E0339}">
  <dimension ref="A1:O40"/>
  <sheetViews>
    <sheetView topLeftCell="A20" workbookViewId="0">
      <selection activeCell="E30" sqref="E30"/>
    </sheetView>
  </sheetViews>
  <sheetFormatPr defaultRowHeight="15" x14ac:dyDescent="0.25"/>
  <cols>
    <col min="1" max="1" width="28.42578125" bestFit="1" customWidth="1"/>
    <col min="2" max="2" width="25" customWidth="1"/>
    <col min="3" max="3" width="11.7109375" customWidth="1"/>
    <col min="4" max="4" width="12.85546875" style="9" bestFit="1" customWidth="1"/>
    <col min="5" max="5" width="14.7109375" style="9" customWidth="1"/>
    <col min="6" max="6" width="11.85546875" style="9" bestFit="1" customWidth="1"/>
    <col min="13" max="13" width="11.140625" bestFit="1" customWidth="1"/>
  </cols>
  <sheetData>
    <row r="1" spans="1:6" ht="18.75" x14ac:dyDescent="0.3">
      <c r="A1" s="4" t="s">
        <v>264</v>
      </c>
      <c r="B1" s="4" t="s">
        <v>265</v>
      </c>
      <c r="C1" s="4" t="s">
        <v>266</v>
      </c>
      <c r="D1" s="46" t="s">
        <v>267</v>
      </c>
      <c r="E1" s="46" t="s">
        <v>268</v>
      </c>
      <c r="F1" s="46" t="s">
        <v>269</v>
      </c>
    </row>
    <row r="2" spans="1:6" ht="31.5" x14ac:dyDescent="0.25">
      <c r="A2" s="2" t="s">
        <v>270</v>
      </c>
      <c r="B2" s="44" t="s">
        <v>271</v>
      </c>
      <c r="C2" s="34" t="s">
        <v>272</v>
      </c>
      <c r="D2" s="7" t="s">
        <v>273</v>
      </c>
      <c r="E2" s="7" t="s">
        <v>274</v>
      </c>
      <c r="F2" s="7" t="s">
        <v>262</v>
      </c>
    </row>
    <row r="3" spans="1:6" ht="31.5" x14ac:dyDescent="0.25">
      <c r="A3" s="2" t="s">
        <v>275</v>
      </c>
      <c r="B3" s="45" t="s">
        <v>276</v>
      </c>
      <c r="C3" s="34" t="s">
        <v>277</v>
      </c>
      <c r="D3" s="77" t="s">
        <v>278</v>
      </c>
      <c r="E3" s="7" t="s">
        <v>279</v>
      </c>
      <c r="F3" s="7" t="s">
        <v>262</v>
      </c>
    </row>
    <row r="4" spans="1:6" ht="31.5" x14ac:dyDescent="0.25">
      <c r="A4" s="78" t="s">
        <v>280</v>
      </c>
      <c r="B4" s="78" t="s">
        <v>276</v>
      </c>
      <c r="C4" s="79" t="s">
        <v>281</v>
      </c>
      <c r="D4" s="77" t="s">
        <v>278</v>
      </c>
      <c r="E4" s="7" t="s">
        <v>282</v>
      </c>
      <c r="F4" s="7" t="s">
        <v>262</v>
      </c>
    </row>
    <row r="5" spans="1:6" ht="30" x14ac:dyDescent="0.25">
      <c r="A5" s="78" t="s">
        <v>283</v>
      </c>
      <c r="B5" s="7" t="s">
        <v>271</v>
      </c>
      <c r="C5" s="34" t="s">
        <v>284</v>
      </c>
      <c r="D5" s="7" t="s">
        <v>273</v>
      </c>
      <c r="E5" s="7" t="s">
        <v>78</v>
      </c>
      <c r="F5" s="7" t="s">
        <v>262</v>
      </c>
    </row>
    <row r="6" spans="1:6" ht="15.75" x14ac:dyDescent="0.25">
      <c r="A6" s="78" t="s">
        <v>396</v>
      </c>
      <c r="B6" s="78" t="s">
        <v>400</v>
      </c>
      <c r="C6" s="34" t="s">
        <v>397</v>
      </c>
      <c r="D6" s="78" t="s">
        <v>399</v>
      </c>
      <c r="E6" s="78" t="s">
        <v>398</v>
      </c>
      <c r="F6" s="78" t="s">
        <v>401</v>
      </c>
    </row>
    <row r="7" spans="1:6" ht="15.75" x14ac:dyDescent="0.25">
      <c r="A7" s="42" t="s">
        <v>402</v>
      </c>
      <c r="B7" s="78" t="s">
        <v>403</v>
      </c>
      <c r="C7" s="80" t="s">
        <v>404</v>
      </c>
      <c r="D7" s="7"/>
      <c r="E7" s="7" t="s">
        <v>406</v>
      </c>
      <c r="F7" s="7" t="s">
        <v>405</v>
      </c>
    </row>
    <row r="8" spans="1:6" x14ac:dyDescent="0.25">
      <c r="A8" s="2" t="s">
        <v>410</v>
      </c>
      <c r="B8" s="2" t="s">
        <v>276</v>
      </c>
      <c r="C8" s="34" t="s">
        <v>411</v>
      </c>
      <c r="D8" s="81" t="s">
        <v>416</v>
      </c>
      <c r="E8" s="7" t="s">
        <v>78</v>
      </c>
      <c r="F8" s="7" t="s">
        <v>262</v>
      </c>
    </row>
    <row r="9" spans="1:6" x14ac:dyDescent="0.25">
      <c r="A9" s="2" t="s">
        <v>413</v>
      </c>
      <c r="B9" s="2" t="s">
        <v>271</v>
      </c>
      <c r="C9" s="34" t="s">
        <v>414</v>
      </c>
      <c r="D9" s="81" t="s">
        <v>412</v>
      </c>
      <c r="E9" s="7" t="s">
        <v>415</v>
      </c>
      <c r="F9" s="7" t="s">
        <v>405</v>
      </c>
    </row>
    <row r="10" spans="1:6" x14ac:dyDescent="0.25">
      <c r="A10" s="2" t="s">
        <v>561</v>
      </c>
      <c r="B10" s="2" t="s">
        <v>276</v>
      </c>
      <c r="C10" s="34" t="s">
        <v>562</v>
      </c>
      <c r="D10" s="7" t="s">
        <v>412</v>
      </c>
      <c r="E10" s="7" t="s">
        <v>563</v>
      </c>
      <c r="F10" s="7"/>
    </row>
    <row r="11" spans="1:6" x14ac:dyDescent="0.25">
      <c r="A11" s="2"/>
      <c r="B11" s="2"/>
      <c r="C11" s="2"/>
      <c r="D11" s="7"/>
      <c r="E11" s="7"/>
      <c r="F11" s="7"/>
    </row>
    <row r="12" spans="1:6" x14ac:dyDescent="0.25">
      <c r="A12" s="2"/>
      <c r="B12" s="2"/>
      <c r="C12" s="2"/>
      <c r="D12" s="7"/>
      <c r="E12" s="7"/>
      <c r="F12" s="7"/>
    </row>
    <row r="13" spans="1:6" x14ac:dyDescent="0.25">
      <c r="A13" s="2"/>
      <c r="B13" s="2"/>
      <c r="C13" s="2"/>
      <c r="D13" s="7"/>
      <c r="E13" s="7"/>
      <c r="F13" s="7"/>
    </row>
    <row r="14" spans="1:6" x14ac:dyDescent="0.25">
      <c r="A14" s="2"/>
      <c r="B14" s="2"/>
      <c r="C14" s="2"/>
      <c r="D14" s="7"/>
      <c r="E14" s="7"/>
      <c r="F14" s="7"/>
    </row>
    <row r="15" spans="1:6" x14ac:dyDescent="0.25">
      <c r="A15" s="2"/>
      <c r="B15" s="2"/>
      <c r="C15" s="2"/>
      <c r="D15" s="7"/>
      <c r="E15" s="7"/>
      <c r="F15" s="7"/>
    </row>
    <row r="16" spans="1:6" x14ac:dyDescent="0.25">
      <c r="A16" s="2"/>
      <c r="B16" s="2"/>
      <c r="C16" s="2"/>
      <c r="D16" s="7"/>
      <c r="E16" s="7"/>
      <c r="F16" s="7"/>
    </row>
    <row r="17" spans="1:7" x14ac:dyDescent="0.25">
      <c r="A17" s="2"/>
      <c r="B17" s="2"/>
      <c r="C17" s="2"/>
      <c r="D17" s="7"/>
      <c r="E17" s="7"/>
      <c r="F17" s="7"/>
    </row>
    <row r="18" spans="1:7" x14ac:dyDescent="0.25">
      <c r="A18" s="2"/>
      <c r="B18" s="2"/>
      <c r="C18" s="2"/>
      <c r="D18" s="7"/>
      <c r="E18" s="7"/>
      <c r="F18" s="7"/>
    </row>
    <row r="19" spans="1:7" x14ac:dyDescent="0.25">
      <c r="A19" s="2"/>
      <c r="B19" s="2"/>
      <c r="C19" s="2"/>
      <c r="D19" s="7"/>
      <c r="E19" s="7"/>
      <c r="F19" s="7"/>
    </row>
    <row r="20" spans="1:7" x14ac:dyDescent="0.25">
      <c r="A20" s="2"/>
      <c r="B20" s="2"/>
      <c r="C20" s="2"/>
      <c r="D20" s="7"/>
      <c r="E20" s="7"/>
      <c r="F20" s="7"/>
    </row>
    <row r="21" spans="1:7" x14ac:dyDescent="0.25">
      <c r="A21" s="2"/>
      <c r="B21" s="2"/>
      <c r="C21" s="2"/>
      <c r="D21" s="7"/>
      <c r="E21" s="7"/>
      <c r="F21" s="7"/>
    </row>
    <row r="22" spans="1:7" x14ac:dyDescent="0.25">
      <c r="A22" s="2"/>
      <c r="B22" s="2"/>
      <c r="C22" s="2"/>
      <c r="D22" s="7"/>
      <c r="E22" s="7"/>
      <c r="F22" s="7"/>
    </row>
    <row r="25" spans="1:7" ht="150.75" thickBot="1" x14ac:dyDescent="0.3">
      <c r="A25" s="208" t="s">
        <v>1111</v>
      </c>
      <c r="B25" s="209" t="s">
        <v>1112</v>
      </c>
      <c r="C25" s="210">
        <v>45909</v>
      </c>
      <c r="D25" s="211">
        <v>24.09</v>
      </c>
      <c r="E25" s="212">
        <v>45937</v>
      </c>
      <c r="F25" s="209" t="s">
        <v>1113</v>
      </c>
      <c r="G25" s="209" t="s">
        <v>478</v>
      </c>
    </row>
    <row r="26" spans="1:7" ht="120.75" thickBot="1" x14ac:dyDescent="0.3">
      <c r="A26" s="208" t="s">
        <v>1114</v>
      </c>
      <c r="B26" s="209" t="s">
        <v>134</v>
      </c>
      <c r="C26" s="210">
        <v>45911</v>
      </c>
      <c r="D26" s="211" t="s">
        <v>1115</v>
      </c>
      <c r="E26" s="212">
        <v>45937</v>
      </c>
      <c r="F26" s="209" t="s">
        <v>1116</v>
      </c>
      <c r="G26" s="209" t="s">
        <v>479</v>
      </c>
    </row>
    <row r="27" spans="1:7" ht="120.75" thickBot="1" x14ac:dyDescent="0.3">
      <c r="A27" s="208" t="s">
        <v>1117</v>
      </c>
      <c r="B27" s="209" t="s">
        <v>148</v>
      </c>
      <c r="C27" s="210">
        <v>45912</v>
      </c>
      <c r="D27" s="211" t="s">
        <v>1115</v>
      </c>
      <c r="E27" s="212">
        <v>45937</v>
      </c>
      <c r="F27" s="209" t="s">
        <v>1116</v>
      </c>
      <c r="G27" s="209" t="s">
        <v>479</v>
      </c>
    </row>
    <row r="28" spans="1:7" ht="30.75" thickBot="1" x14ac:dyDescent="0.3">
      <c r="A28" s="208" t="s">
        <v>1118</v>
      </c>
      <c r="B28" s="209" t="s">
        <v>804</v>
      </c>
      <c r="C28" s="210">
        <v>45922</v>
      </c>
      <c r="D28" s="213" t="s">
        <v>1119</v>
      </c>
      <c r="E28" s="213"/>
      <c r="F28" s="209" t="s">
        <v>777</v>
      </c>
      <c r="G28" s="209" t="s">
        <v>479</v>
      </c>
    </row>
    <row r="29" spans="1:7" ht="30.75" thickBot="1" x14ac:dyDescent="0.3">
      <c r="A29" s="208" t="s">
        <v>1120</v>
      </c>
      <c r="B29" s="209"/>
      <c r="C29" s="210">
        <v>45922</v>
      </c>
      <c r="D29" s="213" t="s">
        <v>1121</v>
      </c>
      <c r="E29" s="213"/>
      <c r="F29" s="209" t="s">
        <v>777</v>
      </c>
      <c r="G29" s="209" t="s">
        <v>479</v>
      </c>
    </row>
    <row r="30" spans="1:7" ht="30.75" thickBot="1" x14ac:dyDescent="0.3">
      <c r="A30" s="208" t="s">
        <v>1122</v>
      </c>
      <c r="B30" s="209" t="s">
        <v>804</v>
      </c>
      <c r="C30" s="210">
        <v>45922</v>
      </c>
      <c r="D30" s="213" t="s">
        <v>1121</v>
      </c>
      <c r="E30" s="213"/>
      <c r="F30" s="209" t="s">
        <v>777</v>
      </c>
      <c r="G30" s="209" t="s">
        <v>479</v>
      </c>
    </row>
    <row r="34" spans="10:15" x14ac:dyDescent="0.25">
      <c r="K34" t="s">
        <v>1267</v>
      </c>
      <c r="L34" t="s">
        <v>1268</v>
      </c>
      <c r="M34" t="s">
        <v>1269</v>
      </c>
      <c r="N34" t="s">
        <v>1270</v>
      </c>
      <c r="O34" t="s">
        <v>1271</v>
      </c>
    </row>
    <row r="35" spans="10:15" x14ac:dyDescent="0.25">
      <c r="J35" t="s">
        <v>82</v>
      </c>
      <c r="K35" s="6" t="s">
        <v>1274</v>
      </c>
      <c r="L35" s="231"/>
      <c r="M35" s="6" t="s">
        <v>1274</v>
      </c>
      <c r="N35" s="231"/>
      <c r="O35" s="231"/>
    </row>
    <row r="36" spans="10:15" x14ac:dyDescent="0.25">
      <c r="J36" t="s">
        <v>71</v>
      </c>
      <c r="K36" s="231"/>
      <c r="L36" t="s">
        <v>1274</v>
      </c>
      <c r="M36" s="231"/>
      <c r="N36" t="s">
        <v>1275</v>
      </c>
      <c r="O36" s="231"/>
    </row>
    <row r="37" spans="10:15" x14ac:dyDescent="0.25">
      <c r="J37" t="s">
        <v>424</v>
      </c>
      <c r="K37" s="231"/>
      <c r="L37" t="s">
        <v>1274</v>
      </c>
      <c r="M37" s="231"/>
      <c r="N37" s="139" t="s">
        <v>1276</v>
      </c>
      <c r="O37" s="231"/>
    </row>
    <row r="38" spans="10:15" x14ac:dyDescent="0.25">
      <c r="J38" t="s">
        <v>471</v>
      </c>
      <c r="K38" s="231"/>
      <c r="L38" s="231"/>
      <c r="M38" t="s">
        <v>1274</v>
      </c>
      <c r="N38" s="231"/>
      <c r="O38" s="231"/>
    </row>
    <row r="39" spans="10:15" x14ac:dyDescent="0.25">
      <c r="J39" t="s">
        <v>1272</v>
      </c>
      <c r="K39" t="s">
        <v>1274</v>
      </c>
      <c r="L39" t="s">
        <v>1274</v>
      </c>
      <c r="M39" s="231"/>
      <c r="N39" t="s">
        <v>1274</v>
      </c>
      <c r="O39" s="231"/>
    </row>
    <row r="40" spans="10:15" x14ac:dyDescent="0.25">
      <c r="J40" t="s">
        <v>1273</v>
      </c>
      <c r="K40" s="231"/>
      <c r="L40" s="231"/>
      <c r="M40" t="s">
        <v>1274</v>
      </c>
      <c r="N40" s="231"/>
      <c r="O40" s="231"/>
    </row>
  </sheetData>
  <hyperlinks>
    <hyperlink ref="C2" r:id="rId1" display="mailto:suzieq0315@gmail.com" xr:uid="{533F1C86-FFAC-42CE-AC3F-F575CF672EB7}"/>
    <hyperlink ref="C3" r:id="rId2" display="mailto:oliviagibbons.94@gmail.com" xr:uid="{47FBBDEA-D10E-40F4-AEC2-A6D7B5B3B3C7}"/>
    <hyperlink ref="C4" r:id="rId3" display="mailto:alicia.wells1999@live.com.au" xr:uid="{ED7C0C63-08CB-4F67-910E-A47E80A476C3}"/>
    <hyperlink ref="C5" r:id="rId4" display="mailto:mitch.oreilly@hotmail.com" xr:uid="{79290A81-4D46-42D4-830B-DE831ECF9A1F}"/>
    <hyperlink ref="C6" r:id="rId5" display="mailto:courtney.jbateman@gmail.com" xr:uid="{FA0EF92C-6319-4F55-898E-F3627E3E8190}"/>
    <hyperlink ref="C7" r:id="rId6" xr:uid="{79707936-8285-443A-8CBB-56B31D05E0BF}"/>
    <hyperlink ref="C8" r:id="rId7" xr:uid="{54075977-CCC5-4F29-9802-594923DCE7F0}"/>
    <hyperlink ref="C9" r:id="rId8" xr:uid="{791511FD-9C10-4A02-AD47-3337CFF61DBD}"/>
    <hyperlink ref="C10" r:id="rId9" xr:uid="{ABF7CADC-B038-46A7-A0BA-D0EE39D9869C}"/>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FAE87-9EB7-4C84-B748-9F5C4E1F03D5}">
  <dimension ref="A1:B25"/>
  <sheetViews>
    <sheetView workbookViewId="0">
      <selection activeCell="A10" sqref="A10"/>
    </sheetView>
  </sheetViews>
  <sheetFormatPr defaultRowHeight="15" x14ac:dyDescent="0.25"/>
  <cols>
    <col min="1" max="1" width="63.140625" style="9" customWidth="1"/>
    <col min="2" max="2" width="47.7109375" customWidth="1"/>
  </cols>
  <sheetData>
    <row r="1" spans="1:2" ht="15.75" x14ac:dyDescent="0.25">
      <c r="A1" s="102" t="s">
        <v>532</v>
      </c>
    </row>
    <row r="2" spans="1:2" ht="15.75" x14ac:dyDescent="0.25">
      <c r="A2" s="103" t="s">
        <v>533</v>
      </c>
    </row>
    <row r="3" spans="1:2" ht="31.5" x14ac:dyDescent="0.25">
      <c r="A3" s="103" t="s">
        <v>534</v>
      </c>
    </row>
    <row r="4" spans="1:2" ht="15.75" x14ac:dyDescent="0.25">
      <c r="A4" s="103" t="s">
        <v>535</v>
      </c>
    </row>
    <row r="5" spans="1:2" ht="15.75" x14ac:dyDescent="0.25">
      <c r="A5" s="103"/>
    </row>
    <row r="6" spans="1:2" ht="15.75" x14ac:dyDescent="0.25">
      <c r="A6" s="101" t="s">
        <v>549</v>
      </c>
      <c r="B6" s="104" t="s">
        <v>550</v>
      </c>
    </row>
    <row r="7" spans="1:2" ht="15.75" x14ac:dyDescent="0.25">
      <c r="A7" s="105" t="s">
        <v>536</v>
      </c>
      <c r="B7" s="105" t="s">
        <v>551</v>
      </c>
    </row>
    <row r="8" spans="1:2" ht="47.25" x14ac:dyDescent="0.25">
      <c r="A8" s="105" t="s">
        <v>537</v>
      </c>
      <c r="B8" s="105" t="s">
        <v>552</v>
      </c>
    </row>
    <row r="9" spans="1:2" ht="15.75" x14ac:dyDescent="0.25">
      <c r="A9" s="105" t="s">
        <v>134</v>
      </c>
      <c r="B9" s="105" t="s">
        <v>553</v>
      </c>
    </row>
    <row r="10" spans="1:2" ht="15.75" x14ac:dyDescent="0.25">
      <c r="A10" s="105" t="s">
        <v>538</v>
      </c>
      <c r="B10" s="105" t="s">
        <v>554</v>
      </c>
    </row>
    <row r="11" spans="1:2" ht="15.75" x14ac:dyDescent="0.25">
      <c r="A11" s="105" t="s">
        <v>539</v>
      </c>
      <c r="B11" s="105" t="s">
        <v>555</v>
      </c>
    </row>
    <row r="12" spans="1:2" ht="15.75" x14ac:dyDescent="0.25">
      <c r="A12" s="105" t="s">
        <v>540</v>
      </c>
      <c r="B12" s="105" t="s">
        <v>556</v>
      </c>
    </row>
    <row r="13" spans="1:2" ht="15.75" x14ac:dyDescent="0.25">
      <c r="A13" s="105" t="s">
        <v>167</v>
      </c>
      <c r="B13" s="105" t="s">
        <v>557</v>
      </c>
    </row>
    <row r="14" spans="1:2" ht="31.5" x14ac:dyDescent="0.25">
      <c r="A14" s="105" t="s">
        <v>541</v>
      </c>
      <c r="B14" s="105" t="s">
        <v>558</v>
      </c>
    </row>
    <row r="15" spans="1:2" ht="15.75" x14ac:dyDescent="0.25">
      <c r="A15" s="105" t="s">
        <v>542</v>
      </c>
      <c r="B15" s="2"/>
    </row>
    <row r="16" spans="1:2" ht="15.75" x14ac:dyDescent="0.25">
      <c r="A16" s="105" t="s">
        <v>543</v>
      </c>
      <c r="B16" s="2"/>
    </row>
    <row r="17" spans="1:2" ht="15.75" x14ac:dyDescent="0.25">
      <c r="A17" s="105" t="s">
        <v>544</v>
      </c>
      <c r="B17" s="2"/>
    </row>
    <row r="18" spans="1:2" ht="31.5" x14ac:dyDescent="0.25">
      <c r="A18" s="105" t="s">
        <v>545</v>
      </c>
      <c r="B18" s="2"/>
    </row>
    <row r="19" spans="1:2" ht="31.5" x14ac:dyDescent="0.25">
      <c r="A19" s="105" t="s">
        <v>546</v>
      </c>
      <c r="B19" s="2"/>
    </row>
    <row r="21" spans="1:2" ht="15.75" x14ac:dyDescent="0.25">
      <c r="A21" s="101" t="s">
        <v>547</v>
      </c>
      <c r="B21" s="104" t="s">
        <v>550</v>
      </c>
    </row>
    <row r="22" spans="1:2" ht="15.75" x14ac:dyDescent="0.25">
      <c r="A22" s="106" t="s">
        <v>134</v>
      </c>
      <c r="B22" s="2"/>
    </row>
    <row r="23" spans="1:2" ht="15.75" x14ac:dyDescent="0.25">
      <c r="A23" s="106" t="s">
        <v>538</v>
      </c>
      <c r="B23" s="2"/>
    </row>
    <row r="24" spans="1:2" ht="15.75" x14ac:dyDescent="0.25">
      <c r="A24" s="106" t="s">
        <v>539</v>
      </c>
      <c r="B24" s="2"/>
    </row>
    <row r="25" spans="1:2" ht="15.75" x14ac:dyDescent="0.25">
      <c r="A25" s="106" t="s">
        <v>548</v>
      </c>
      <c r="B25"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6D567-1B18-4385-AB36-9DF9FE536DCF}">
  <dimension ref="A1:A19"/>
  <sheetViews>
    <sheetView workbookViewId="0">
      <selection activeCell="A20" sqref="A20"/>
    </sheetView>
  </sheetViews>
  <sheetFormatPr defaultRowHeight="15" x14ac:dyDescent="0.25"/>
  <cols>
    <col min="1" max="1" width="113.85546875" customWidth="1"/>
  </cols>
  <sheetData>
    <row r="1" spans="1:1" x14ac:dyDescent="0.25">
      <c r="A1" s="6" t="s">
        <v>464</v>
      </c>
    </row>
    <row r="2" spans="1:1" x14ac:dyDescent="0.25">
      <c r="A2" t="s">
        <v>450</v>
      </c>
    </row>
    <row r="3" spans="1:1" x14ac:dyDescent="0.25">
      <c r="A3" t="s">
        <v>451</v>
      </c>
    </row>
    <row r="4" spans="1:1" x14ac:dyDescent="0.25">
      <c r="A4" t="s">
        <v>452</v>
      </c>
    </row>
    <row r="5" spans="1:1" x14ac:dyDescent="0.25">
      <c r="A5" s="49" t="s">
        <v>453</v>
      </c>
    </row>
    <row r="6" spans="1:1" x14ac:dyDescent="0.25">
      <c r="A6" s="88" t="s">
        <v>454</v>
      </c>
    </row>
    <row r="7" spans="1:1" x14ac:dyDescent="0.25">
      <c r="A7" s="88" t="s">
        <v>455</v>
      </c>
    </row>
    <row r="8" spans="1:1" x14ac:dyDescent="0.25">
      <c r="A8" s="88" t="s">
        <v>456</v>
      </c>
    </row>
    <row r="9" spans="1:1" x14ac:dyDescent="0.25">
      <c r="A9" s="88" t="s">
        <v>457</v>
      </c>
    </row>
    <row r="10" spans="1:1" x14ac:dyDescent="0.25">
      <c r="A10" s="88" t="s">
        <v>458</v>
      </c>
    </row>
    <row r="11" spans="1:1" x14ac:dyDescent="0.25">
      <c r="A11" s="88" t="s">
        <v>459</v>
      </c>
    </row>
    <row r="12" spans="1:1" x14ac:dyDescent="0.25">
      <c r="A12" t="s">
        <v>460</v>
      </c>
    </row>
    <row r="13" spans="1:1" x14ac:dyDescent="0.25">
      <c r="A13" s="88" t="s">
        <v>461</v>
      </c>
    </row>
    <row r="14" spans="1:1" x14ac:dyDescent="0.25">
      <c r="A14" s="88" t="s">
        <v>462</v>
      </c>
    </row>
    <row r="15" spans="1:1" x14ac:dyDescent="0.25">
      <c r="A15" t="s">
        <v>463</v>
      </c>
    </row>
    <row r="16" spans="1:1" x14ac:dyDescent="0.25">
      <c r="A16" t="s">
        <v>465</v>
      </c>
    </row>
    <row r="17" spans="1:1" x14ac:dyDescent="0.25">
      <c r="A17" t="s">
        <v>466</v>
      </c>
    </row>
    <row r="18" spans="1:1" x14ac:dyDescent="0.25">
      <c r="A18" t="s">
        <v>467</v>
      </c>
    </row>
    <row r="19" spans="1:1" x14ac:dyDescent="0.25">
      <c r="A19" t="s">
        <v>468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AE60C-7643-44B4-8327-3767502816E1}">
  <dimension ref="A1:D35"/>
  <sheetViews>
    <sheetView workbookViewId="0">
      <selection activeCell="A42" sqref="A42"/>
    </sheetView>
  </sheetViews>
  <sheetFormatPr defaultRowHeight="15" x14ac:dyDescent="0.25"/>
  <cols>
    <col min="1" max="1" width="37.85546875" customWidth="1"/>
    <col min="2" max="2" width="38.42578125" customWidth="1"/>
    <col min="3" max="3" width="39" customWidth="1"/>
    <col min="4" max="4" width="39.85546875" customWidth="1"/>
  </cols>
  <sheetData>
    <row r="1" spans="1:4" ht="28.5" thickTop="1" thickBot="1" x14ac:dyDescent="0.3">
      <c r="A1" s="15" t="s">
        <v>317</v>
      </c>
      <c r="B1" s="15" t="s">
        <v>318</v>
      </c>
      <c r="C1" s="15" t="s">
        <v>319</v>
      </c>
      <c r="D1" s="15" t="s">
        <v>320</v>
      </c>
    </row>
    <row r="2" spans="1:4" ht="28.5" thickTop="1" thickBot="1" x14ac:dyDescent="0.3">
      <c r="A2" s="15" t="s">
        <v>317</v>
      </c>
      <c r="B2" s="15" t="s">
        <v>318</v>
      </c>
      <c r="C2" s="15" t="s">
        <v>319</v>
      </c>
      <c r="D2" s="15" t="s">
        <v>320</v>
      </c>
    </row>
    <row r="3" spans="1:4" ht="28.5" thickTop="1" thickBot="1" x14ac:dyDescent="0.3">
      <c r="A3" s="15" t="s">
        <v>317</v>
      </c>
      <c r="B3" s="15" t="s">
        <v>318</v>
      </c>
      <c r="C3" s="15" t="s">
        <v>319</v>
      </c>
      <c r="D3" s="15" t="s">
        <v>320</v>
      </c>
    </row>
    <row r="4" spans="1:4" ht="28.5" thickTop="1" thickBot="1" x14ac:dyDescent="0.3">
      <c r="A4" s="15" t="s">
        <v>317</v>
      </c>
      <c r="B4" s="15" t="s">
        <v>318</v>
      </c>
      <c r="C4" s="15" t="s">
        <v>319</v>
      </c>
      <c r="D4" s="15" t="s">
        <v>320</v>
      </c>
    </row>
    <row r="5" spans="1:4" ht="28.5" thickTop="1" thickBot="1" x14ac:dyDescent="0.3">
      <c r="A5" s="15" t="s">
        <v>317</v>
      </c>
      <c r="B5" s="15" t="s">
        <v>318</v>
      </c>
      <c r="C5" s="15" t="s">
        <v>319</v>
      </c>
      <c r="D5" s="15" t="s">
        <v>320</v>
      </c>
    </row>
    <row r="6" spans="1:4" ht="28.5" thickTop="1" thickBot="1" x14ac:dyDescent="0.3">
      <c r="A6" s="15" t="s">
        <v>317</v>
      </c>
      <c r="B6" s="15" t="s">
        <v>318</v>
      </c>
      <c r="C6" s="15" t="s">
        <v>319</v>
      </c>
      <c r="D6" s="15" t="s">
        <v>320</v>
      </c>
    </row>
    <row r="7" spans="1:4" ht="28.5" thickTop="1" thickBot="1" x14ac:dyDescent="0.3">
      <c r="A7" s="15" t="s">
        <v>317</v>
      </c>
      <c r="B7" s="15" t="s">
        <v>318</v>
      </c>
      <c r="C7" s="15" t="s">
        <v>319</v>
      </c>
      <c r="D7" s="15" t="s">
        <v>320</v>
      </c>
    </row>
    <row r="8" spans="1:4" ht="28.5" thickTop="1" thickBot="1" x14ac:dyDescent="0.3">
      <c r="A8" s="15" t="s">
        <v>317</v>
      </c>
      <c r="B8" s="15" t="s">
        <v>318</v>
      </c>
      <c r="C8" s="15" t="s">
        <v>319</v>
      </c>
      <c r="D8" s="15" t="s">
        <v>320</v>
      </c>
    </row>
    <row r="9" spans="1:4" ht="28.5" thickTop="1" thickBot="1" x14ac:dyDescent="0.3">
      <c r="A9" s="15" t="s">
        <v>317</v>
      </c>
      <c r="B9" s="15" t="s">
        <v>318</v>
      </c>
      <c r="C9" s="15" t="s">
        <v>319</v>
      </c>
      <c r="D9" s="15" t="s">
        <v>320</v>
      </c>
    </row>
    <row r="10" spans="1:4" ht="28.5" thickTop="1" thickBot="1" x14ac:dyDescent="0.3">
      <c r="A10" s="15" t="s">
        <v>317</v>
      </c>
      <c r="B10" s="15" t="s">
        <v>318</v>
      </c>
      <c r="C10" s="15" t="s">
        <v>319</v>
      </c>
      <c r="D10" s="15" t="s">
        <v>320</v>
      </c>
    </row>
    <row r="11" spans="1:4" ht="28.5" thickTop="1" thickBot="1" x14ac:dyDescent="0.3">
      <c r="A11" s="15" t="s">
        <v>317</v>
      </c>
      <c r="B11" s="15" t="s">
        <v>318</v>
      </c>
      <c r="C11" s="15" t="s">
        <v>319</v>
      </c>
      <c r="D11" s="15" t="s">
        <v>320</v>
      </c>
    </row>
    <row r="12" spans="1:4" ht="15.75" thickTop="1" x14ac:dyDescent="0.25"/>
    <row r="14" spans="1:4" ht="18.75" x14ac:dyDescent="0.3">
      <c r="A14" s="3" t="s">
        <v>321</v>
      </c>
    </row>
    <row r="15" spans="1:4" ht="18.75" x14ac:dyDescent="0.3">
      <c r="A15" s="3" t="s">
        <v>322</v>
      </c>
    </row>
    <row r="16" spans="1:4" ht="18.75" x14ac:dyDescent="0.3">
      <c r="A16" s="3" t="s">
        <v>323</v>
      </c>
    </row>
    <row r="17" spans="1:1" ht="18.75" x14ac:dyDescent="0.3">
      <c r="A17" s="3"/>
    </row>
    <row r="18" spans="1:1" ht="18.75" x14ac:dyDescent="0.3">
      <c r="A18" s="3" t="s">
        <v>828</v>
      </c>
    </row>
    <row r="19" spans="1:1" ht="18.75" x14ac:dyDescent="0.3">
      <c r="A19" s="3"/>
    </row>
    <row r="20" spans="1:1" ht="18.75" x14ac:dyDescent="0.3">
      <c r="A20" s="4" t="s">
        <v>324</v>
      </c>
    </row>
    <row r="21" spans="1:1" ht="18.75" x14ac:dyDescent="0.3">
      <c r="A21" s="3" t="s">
        <v>325</v>
      </c>
    </row>
    <row r="22" spans="1:1" ht="18.75" x14ac:dyDescent="0.3">
      <c r="A22" s="4" t="s">
        <v>827</v>
      </c>
    </row>
    <row r="23" spans="1:1" ht="18.75" x14ac:dyDescent="0.3">
      <c r="A23" s="3" t="s">
        <v>326</v>
      </c>
    </row>
    <row r="24" spans="1:1" ht="18.75" x14ac:dyDescent="0.3">
      <c r="A24" s="4" t="s">
        <v>327</v>
      </c>
    </row>
    <row r="25" spans="1:1" ht="18.75" x14ac:dyDescent="0.3">
      <c r="A25" s="3" t="s">
        <v>328</v>
      </c>
    </row>
    <row r="26" spans="1:1" ht="18.75" x14ac:dyDescent="0.3">
      <c r="A26" s="4" t="s">
        <v>329</v>
      </c>
    </row>
    <row r="27" spans="1:1" ht="18.75" x14ac:dyDescent="0.3">
      <c r="A27" s="3" t="s">
        <v>330</v>
      </c>
    </row>
    <row r="28" spans="1:1" ht="18.75" x14ac:dyDescent="0.3">
      <c r="A28" s="4" t="s">
        <v>331</v>
      </c>
    </row>
    <row r="29" spans="1:1" ht="18.75" x14ac:dyDescent="0.3">
      <c r="A29" s="3" t="s">
        <v>332</v>
      </c>
    </row>
    <row r="30" spans="1:1" ht="18.75" x14ac:dyDescent="0.3">
      <c r="A30" s="4" t="s">
        <v>333</v>
      </c>
    </row>
    <row r="31" spans="1:1" ht="18.75" x14ac:dyDescent="0.3">
      <c r="A31" s="3" t="s">
        <v>829</v>
      </c>
    </row>
    <row r="32" spans="1:1" ht="18.75" x14ac:dyDescent="0.3">
      <c r="A32" s="4" t="s">
        <v>334</v>
      </c>
    </row>
    <row r="33" spans="1:1" ht="18.75" x14ac:dyDescent="0.3">
      <c r="A33" s="3" t="s">
        <v>335</v>
      </c>
    </row>
    <row r="34" spans="1:1" ht="18.75" x14ac:dyDescent="0.3">
      <c r="A34" s="4" t="s">
        <v>336</v>
      </c>
    </row>
    <row r="35" spans="1:1" ht="18.75" x14ac:dyDescent="0.3">
      <c r="A35" s="3" t="s">
        <v>337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5E0D4-1534-4217-BC59-04A0FB9B7E60}">
  <dimension ref="A1:R254"/>
  <sheetViews>
    <sheetView topLeftCell="B1" zoomScaleNormal="100" workbookViewId="0">
      <selection activeCell="O208" sqref="O208"/>
    </sheetView>
  </sheetViews>
  <sheetFormatPr defaultRowHeight="15" x14ac:dyDescent="0.25"/>
  <cols>
    <col min="1" max="1" width="25.42578125" bestFit="1" customWidth="1"/>
    <col min="2" max="2" width="12" bestFit="1" customWidth="1"/>
    <col min="3" max="3" width="25.42578125" bestFit="1" customWidth="1"/>
    <col min="4" max="4" width="12" bestFit="1" customWidth="1"/>
    <col min="5" max="5" width="24.7109375" bestFit="1" customWidth="1"/>
    <col min="6" max="6" width="12" bestFit="1" customWidth="1"/>
    <col min="7" max="7" width="24.7109375" bestFit="1" customWidth="1"/>
    <col min="8" max="8" width="12" bestFit="1" customWidth="1"/>
    <col min="9" max="9" width="25.42578125" bestFit="1" customWidth="1"/>
    <col min="10" max="10" width="12" bestFit="1" customWidth="1"/>
    <col min="11" max="11" width="20.140625" bestFit="1" customWidth="1"/>
    <col min="12" max="12" width="12" bestFit="1" customWidth="1"/>
    <col min="13" max="13" width="18.85546875" bestFit="1" customWidth="1"/>
    <col min="14" max="14" width="21.140625" bestFit="1" customWidth="1"/>
    <col min="15" max="15" width="13.42578125" bestFit="1" customWidth="1"/>
    <col min="16" max="16" width="13.42578125" customWidth="1"/>
    <col min="18" max="18" width="25.5703125" bestFit="1" customWidth="1"/>
    <col min="19" max="20" width="10.42578125" bestFit="1" customWidth="1"/>
  </cols>
  <sheetData>
    <row r="1" spans="1:12" x14ac:dyDescent="0.25">
      <c r="A1" s="13">
        <v>45593</v>
      </c>
      <c r="B1" s="6"/>
      <c r="C1" s="13">
        <v>45600</v>
      </c>
      <c r="D1" s="6"/>
      <c r="E1" s="13">
        <v>45607</v>
      </c>
      <c r="F1" s="6"/>
      <c r="G1" s="13">
        <v>45614</v>
      </c>
      <c r="H1" s="13"/>
      <c r="I1" s="6"/>
      <c r="J1" s="13">
        <v>45621</v>
      </c>
    </row>
    <row r="2" spans="1:12" ht="18.75" x14ac:dyDescent="0.3">
      <c r="A2" s="3" t="s">
        <v>0</v>
      </c>
      <c r="B2" t="s">
        <v>1</v>
      </c>
      <c r="C2" s="3" t="s">
        <v>0</v>
      </c>
      <c r="D2" t="s">
        <v>1</v>
      </c>
      <c r="E2" s="3" t="s">
        <v>0</v>
      </c>
      <c r="F2" t="s">
        <v>1</v>
      </c>
      <c r="G2" s="3" t="s">
        <v>0</v>
      </c>
      <c r="H2" t="s">
        <v>1</v>
      </c>
      <c r="I2" s="3" t="s">
        <v>0</v>
      </c>
      <c r="J2" t="s">
        <v>1</v>
      </c>
      <c r="K2" s="4" t="s">
        <v>2</v>
      </c>
    </row>
    <row r="3" spans="1:12" x14ac:dyDescent="0.25">
      <c r="A3" s="2" t="s">
        <v>3</v>
      </c>
      <c r="B3" t="s">
        <v>4</v>
      </c>
      <c r="C3" s="2" t="s">
        <v>3</v>
      </c>
      <c r="D3" t="s">
        <v>4</v>
      </c>
      <c r="E3" s="2" t="s">
        <v>3</v>
      </c>
      <c r="F3" t="s">
        <v>4</v>
      </c>
      <c r="G3" s="2" t="s">
        <v>3</v>
      </c>
      <c r="H3" t="s">
        <v>4</v>
      </c>
      <c r="I3" s="2" t="s">
        <v>3</v>
      </c>
      <c r="J3" t="s">
        <v>4</v>
      </c>
      <c r="K3" s="6" t="s">
        <v>5</v>
      </c>
    </row>
    <row r="4" spans="1:12" x14ac:dyDescent="0.25">
      <c r="A4" s="2">
        <v>2</v>
      </c>
      <c r="B4">
        <f>SUM(A4,A11,A18,A25,A32,A39,A46)</f>
        <v>15</v>
      </c>
      <c r="C4" s="2">
        <v>6</v>
      </c>
      <c r="D4">
        <f>SUM(C4,C11,C18,C25,C32,C39,C46)</f>
        <v>28</v>
      </c>
      <c r="E4" s="2">
        <v>2</v>
      </c>
      <c r="F4">
        <f>SUM(E4,E11,E18,E25,E32,E39,E46)</f>
        <v>25</v>
      </c>
      <c r="G4" s="2">
        <v>4</v>
      </c>
      <c r="H4">
        <f>SUM(G4,G11,G18,G25,G32,G39,G46)</f>
        <v>29</v>
      </c>
      <c r="I4" s="2">
        <v>6</v>
      </c>
      <c r="J4">
        <f>SUM(I4,I11,I18,I25,I32,I39,I46)</f>
        <v>17</v>
      </c>
      <c r="K4" s="6">
        <f>SUM(J4,H4,F4,D4,)</f>
        <v>99</v>
      </c>
    </row>
    <row r="5" spans="1:12" x14ac:dyDescent="0.25">
      <c r="A5" s="2" t="s">
        <v>6</v>
      </c>
      <c r="B5" t="s">
        <v>7</v>
      </c>
      <c r="C5" s="2" t="s">
        <v>6</v>
      </c>
      <c r="D5" t="s">
        <v>7</v>
      </c>
      <c r="E5" s="2" t="s">
        <v>6</v>
      </c>
      <c r="F5" t="s">
        <v>7</v>
      </c>
      <c r="G5" s="2" t="s">
        <v>6</v>
      </c>
      <c r="H5" t="s">
        <v>7</v>
      </c>
      <c r="I5" s="2" t="s">
        <v>6</v>
      </c>
      <c r="J5" t="s">
        <v>7</v>
      </c>
      <c r="K5" s="6" t="s">
        <v>7</v>
      </c>
    </row>
    <row r="6" spans="1:12" x14ac:dyDescent="0.25">
      <c r="A6" s="2">
        <v>5</v>
      </c>
      <c r="B6">
        <f>SUM(A6,A13,A20,A27,A34,A41,A48)</f>
        <v>22</v>
      </c>
      <c r="C6" s="2">
        <v>2</v>
      </c>
      <c r="D6">
        <f>SUM(C6,C13,C20,C27,C34,C41,C48)</f>
        <v>22</v>
      </c>
      <c r="E6" s="2">
        <v>4</v>
      </c>
      <c r="F6">
        <f>SUM(E6,E13,E20,E27,E34,E41,E48)</f>
        <v>31</v>
      </c>
      <c r="G6" s="2">
        <v>3</v>
      </c>
      <c r="H6">
        <f>SUM(G6,G13,G20,G27,G34,G41,G48)</f>
        <v>18</v>
      </c>
      <c r="I6" s="2">
        <v>0</v>
      </c>
      <c r="J6">
        <f>SUM(I6,I13,I20,I27,I34,I41,I48)</f>
        <v>15</v>
      </c>
      <c r="K6" s="6">
        <f>SUM(J6,H6,F6,D6)</f>
        <v>86</v>
      </c>
    </row>
    <row r="7" spans="1:12" x14ac:dyDescent="0.25">
      <c r="A7" s="2" t="s">
        <v>8</v>
      </c>
      <c r="B7" t="s">
        <v>8</v>
      </c>
      <c r="C7" s="2" t="s">
        <v>8</v>
      </c>
      <c r="D7" t="s">
        <v>8</v>
      </c>
      <c r="E7" s="2" t="s">
        <v>8</v>
      </c>
      <c r="F7" t="s">
        <v>8</v>
      </c>
      <c r="G7" s="2" t="s">
        <v>8</v>
      </c>
      <c r="H7" t="s">
        <v>8</v>
      </c>
      <c r="I7" s="2" t="s">
        <v>8</v>
      </c>
      <c r="J7" t="s">
        <v>8</v>
      </c>
      <c r="K7" s="6" t="s">
        <v>8</v>
      </c>
    </row>
    <row r="8" spans="1:12" x14ac:dyDescent="0.25">
      <c r="A8" s="2">
        <v>10</v>
      </c>
      <c r="B8">
        <f>SUM(A8,A15,A22,A29,A36,A43,A50)</f>
        <v>40</v>
      </c>
      <c r="C8" s="2">
        <v>1</v>
      </c>
      <c r="D8">
        <f>SUM(C8,C15,C22,C29,C36,C43,C50)</f>
        <v>28</v>
      </c>
      <c r="E8" s="2">
        <v>2</v>
      </c>
      <c r="F8">
        <f>SUM(E8,E15,E22,E29,E36,E43,E50)</f>
        <v>18</v>
      </c>
      <c r="G8" s="2">
        <v>5</v>
      </c>
      <c r="H8">
        <f>SUM(G8,G15,G22,G29,G36,G43,G50)</f>
        <v>25</v>
      </c>
      <c r="I8" s="2">
        <v>3</v>
      </c>
      <c r="J8">
        <f>SUM(I8,I15,I22,I29,I36,I43,I50)</f>
        <v>32</v>
      </c>
      <c r="K8" s="6">
        <f>SUM(J8,H8,F8,D8)</f>
        <v>103</v>
      </c>
      <c r="L8" s="6">
        <f>SUM(K4,K6)-K8</f>
        <v>82</v>
      </c>
    </row>
    <row r="9" spans="1:12" ht="18.75" x14ac:dyDescent="0.3">
      <c r="A9" s="4" t="s">
        <v>9</v>
      </c>
      <c r="C9" s="4" t="s">
        <v>9</v>
      </c>
      <c r="D9" s="5"/>
      <c r="E9" s="4" t="s">
        <v>9</v>
      </c>
      <c r="G9" s="4" t="s">
        <v>9</v>
      </c>
      <c r="I9" s="4" t="s">
        <v>9</v>
      </c>
    </row>
    <row r="10" spans="1:12" x14ac:dyDescent="0.25">
      <c r="A10" s="2" t="s">
        <v>3</v>
      </c>
      <c r="C10" s="2" t="s">
        <v>3</v>
      </c>
      <c r="D10" s="5"/>
      <c r="E10" s="2" t="s">
        <v>3</v>
      </c>
      <c r="G10" s="2" t="s">
        <v>3</v>
      </c>
      <c r="I10" s="2" t="s">
        <v>3</v>
      </c>
    </row>
    <row r="11" spans="1:12" x14ac:dyDescent="0.25">
      <c r="A11" s="2">
        <v>4</v>
      </c>
      <c r="C11" s="2">
        <v>3</v>
      </c>
      <c r="D11" s="5"/>
      <c r="E11" s="2">
        <v>4</v>
      </c>
      <c r="G11" s="2">
        <v>4</v>
      </c>
      <c r="I11" s="2">
        <v>3</v>
      </c>
    </row>
    <row r="12" spans="1:12" x14ac:dyDescent="0.25">
      <c r="A12" s="2" t="s">
        <v>6</v>
      </c>
      <c r="C12" s="2" t="s">
        <v>6</v>
      </c>
      <c r="D12" s="5"/>
      <c r="E12" s="2" t="s">
        <v>6</v>
      </c>
      <c r="G12" s="2" t="s">
        <v>6</v>
      </c>
      <c r="I12" s="2" t="s">
        <v>6</v>
      </c>
    </row>
    <row r="13" spans="1:12" x14ac:dyDescent="0.25">
      <c r="A13" s="2">
        <v>3</v>
      </c>
      <c r="C13" s="2">
        <v>3</v>
      </c>
      <c r="D13" s="5"/>
      <c r="E13" s="2">
        <v>4</v>
      </c>
      <c r="G13" s="2">
        <v>3</v>
      </c>
      <c r="I13" s="2">
        <v>4</v>
      </c>
    </row>
    <row r="14" spans="1:12" x14ac:dyDescent="0.25">
      <c r="A14" s="2" t="s">
        <v>8</v>
      </c>
      <c r="C14" s="2" t="s">
        <v>8</v>
      </c>
      <c r="D14" s="5"/>
      <c r="E14" s="2" t="s">
        <v>8</v>
      </c>
      <c r="G14" s="2" t="s">
        <v>8</v>
      </c>
      <c r="I14" s="2" t="s">
        <v>8</v>
      </c>
    </row>
    <row r="15" spans="1:12" x14ac:dyDescent="0.25">
      <c r="A15" s="2">
        <v>7</v>
      </c>
      <c r="C15" s="2">
        <v>7</v>
      </c>
      <c r="D15" s="5"/>
      <c r="E15" s="2">
        <v>3</v>
      </c>
      <c r="G15" s="2">
        <v>3</v>
      </c>
      <c r="I15" s="2">
        <v>1</v>
      </c>
    </row>
    <row r="16" spans="1:12" ht="18.75" x14ac:dyDescent="0.3">
      <c r="A16" s="4" t="s">
        <v>10</v>
      </c>
      <c r="C16" s="4" t="s">
        <v>10</v>
      </c>
      <c r="D16" s="5"/>
      <c r="E16" s="4" t="s">
        <v>10</v>
      </c>
      <c r="G16" s="4" t="s">
        <v>10</v>
      </c>
      <c r="I16" s="4" t="s">
        <v>10</v>
      </c>
    </row>
    <row r="17" spans="1:18" x14ac:dyDescent="0.25">
      <c r="A17" s="2" t="s">
        <v>3</v>
      </c>
      <c r="C17" s="2" t="s">
        <v>3</v>
      </c>
      <c r="D17" s="5"/>
      <c r="E17" s="2" t="s">
        <v>3</v>
      </c>
      <c r="G17" s="2" t="s">
        <v>3</v>
      </c>
      <c r="I17" s="2" t="s">
        <v>3</v>
      </c>
      <c r="Q17" s="1"/>
      <c r="R17" s="1"/>
    </row>
    <row r="18" spans="1:18" x14ac:dyDescent="0.25">
      <c r="A18" s="2">
        <v>3</v>
      </c>
      <c r="C18" s="2">
        <v>0</v>
      </c>
      <c r="D18" s="5"/>
      <c r="E18" s="2">
        <v>1</v>
      </c>
      <c r="G18" s="2">
        <v>6</v>
      </c>
      <c r="I18" s="2">
        <v>4</v>
      </c>
      <c r="Q18" s="1"/>
      <c r="R18" s="1"/>
    </row>
    <row r="19" spans="1:18" x14ac:dyDescent="0.25">
      <c r="A19" s="2" t="s">
        <v>6</v>
      </c>
      <c r="C19" s="2" t="s">
        <v>6</v>
      </c>
      <c r="D19" s="5"/>
      <c r="E19" s="2" t="s">
        <v>6</v>
      </c>
      <c r="G19" s="2" t="s">
        <v>6</v>
      </c>
      <c r="I19" s="2" t="s">
        <v>6</v>
      </c>
      <c r="Q19" s="1"/>
      <c r="R19" s="1"/>
    </row>
    <row r="20" spans="1:18" x14ac:dyDescent="0.25">
      <c r="A20" s="2">
        <v>0</v>
      </c>
      <c r="C20" s="2">
        <v>1</v>
      </c>
      <c r="D20" s="5"/>
      <c r="E20" s="2">
        <v>6</v>
      </c>
      <c r="G20" s="2">
        <v>3</v>
      </c>
      <c r="I20" s="2">
        <v>4</v>
      </c>
      <c r="Q20" s="1"/>
      <c r="R20" s="1"/>
    </row>
    <row r="21" spans="1:18" x14ac:dyDescent="0.25">
      <c r="A21" s="2" t="s">
        <v>8</v>
      </c>
      <c r="C21" s="2" t="s">
        <v>8</v>
      </c>
      <c r="D21" s="5"/>
      <c r="E21" s="2" t="s">
        <v>8</v>
      </c>
      <c r="G21" s="2" t="s">
        <v>8</v>
      </c>
      <c r="I21" s="2" t="s">
        <v>8</v>
      </c>
      <c r="Q21" s="1"/>
      <c r="R21" s="1"/>
    </row>
    <row r="22" spans="1:18" x14ac:dyDescent="0.25">
      <c r="A22" s="2">
        <v>5</v>
      </c>
      <c r="C22" s="2">
        <v>7</v>
      </c>
      <c r="D22" s="5"/>
      <c r="E22" s="2">
        <v>3</v>
      </c>
      <c r="G22" s="2">
        <v>7</v>
      </c>
      <c r="I22" s="2">
        <v>12</v>
      </c>
      <c r="Q22" s="1"/>
      <c r="R22" s="1"/>
    </row>
    <row r="23" spans="1:18" ht="18.75" x14ac:dyDescent="0.3">
      <c r="A23" s="4" t="s">
        <v>11</v>
      </c>
      <c r="C23" s="4" t="s">
        <v>11</v>
      </c>
      <c r="D23" s="5"/>
      <c r="E23" s="4" t="s">
        <v>11</v>
      </c>
      <c r="G23" s="4" t="s">
        <v>11</v>
      </c>
      <c r="I23" s="4" t="s">
        <v>11</v>
      </c>
    </row>
    <row r="24" spans="1:18" x14ac:dyDescent="0.25">
      <c r="A24" s="2" t="s">
        <v>3</v>
      </c>
      <c r="C24" s="2" t="s">
        <v>3</v>
      </c>
      <c r="D24" s="5"/>
      <c r="E24" s="2" t="s">
        <v>3</v>
      </c>
      <c r="G24" s="2" t="s">
        <v>3</v>
      </c>
      <c r="I24" s="2" t="s">
        <v>3</v>
      </c>
    </row>
    <row r="25" spans="1:18" x14ac:dyDescent="0.25">
      <c r="A25" s="2">
        <v>2</v>
      </c>
      <c r="C25" s="2">
        <v>8</v>
      </c>
      <c r="D25" s="5"/>
      <c r="E25" s="2">
        <v>8</v>
      </c>
      <c r="G25" s="2">
        <v>8</v>
      </c>
      <c r="I25" s="2">
        <v>3</v>
      </c>
    </row>
    <row r="26" spans="1:18" x14ac:dyDescent="0.25">
      <c r="A26" s="2" t="s">
        <v>6</v>
      </c>
      <c r="C26" s="2" t="s">
        <v>6</v>
      </c>
      <c r="D26" s="5"/>
      <c r="E26" s="2" t="s">
        <v>6</v>
      </c>
      <c r="G26" s="2" t="s">
        <v>6</v>
      </c>
      <c r="I26" s="2" t="s">
        <v>6</v>
      </c>
    </row>
    <row r="27" spans="1:18" x14ac:dyDescent="0.25">
      <c r="A27" s="2">
        <v>8</v>
      </c>
      <c r="C27" s="2">
        <v>8</v>
      </c>
      <c r="D27" s="5"/>
      <c r="E27" s="2">
        <v>6</v>
      </c>
      <c r="G27" s="2">
        <v>3</v>
      </c>
      <c r="I27" s="2">
        <v>3</v>
      </c>
    </row>
    <row r="28" spans="1:18" x14ac:dyDescent="0.25">
      <c r="A28" s="2" t="s">
        <v>8</v>
      </c>
      <c r="C28" s="2" t="s">
        <v>8</v>
      </c>
      <c r="D28" s="5"/>
      <c r="E28" s="2" t="s">
        <v>8</v>
      </c>
      <c r="G28" s="2" t="s">
        <v>8</v>
      </c>
      <c r="I28" s="2" t="s">
        <v>8</v>
      </c>
    </row>
    <row r="29" spans="1:18" x14ac:dyDescent="0.25">
      <c r="A29" s="2">
        <v>7</v>
      </c>
      <c r="C29" s="2">
        <v>6</v>
      </c>
      <c r="D29" s="5"/>
      <c r="E29" s="2">
        <v>2</v>
      </c>
      <c r="G29" s="2">
        <v>4</v>
      </c>
      <c r="I29" s="2">
        <v>6</v>
      </c>
    </row>
    <row r="30" spans="1:18" ht="18.75" x14ac:dyDescent="0.3">
      <c r="A30" s="4" t="s">
        <v>12</v>
      </c>
      <c r="C30" s="4" t="s">
        <v>12</v>
      </c>
      <c r="D30" s="5"/>
      <c r="E30" s="4" t="s">
        <v>12</v>
      </c>
      <c r="G30" s="4" t="s">
        <v>12</v>
      </c>
      <c r="I30" s="4" t="s">
        <v>12</v>
      </c>
    </row>
    <row r="31" spans="1:18" x14ac:dyDescent="0.25">
      <c r="A31" s="2" t="s">
        <v>3</v>
      </c>
      <c r="C31" s="2" t="s">
        <v>3</v>
      </c>
      <c r="D31" s="5"/>
      <c r="E31" s="2" t="s">
        <v>3</v>
      </c>
      <c r="G31" s="2" t="s">
        <v>3</v>
      </c>
      <c r="I31" s="2" t="s">
        <v>3</v>
      </c>
    </row>
    <row r="32" spans="1:18" x14ac:dyDescent="0.25">
      <c r="A32" s="2">
        <v>3</v>
      </c>
      <c r="C32" s="2">
        <v>2</v>
      </c>
      <c r="D32" s="5"/>
      <c r="E32" s="2">
        <v>2</v>
      </c>
      <c r="G32" s="2">
        <v>4</v>
      </c>
      <c r="I32" s="2">
        <v>1</v>
      </c>
    </row>
    <row r="33" spans="1:9" x14ac:dyDescent="0.25">
      <c r="A33" s="2" t="s">
        <v>6</v>
      </c>
      <c r="C33" s="2" t="s">
        <v>6</v>
      </c>
      <c r="D33" s="5"/>
      <c r="E33" s="2" t="s">
        <v>6</v>
      </c>
      <c r="G33" s="2" t="s">
        <v>6</v>
      </c>
      <c r="I33" s="2" t="s">
        <v>6</v>
      </c>
    </row>
    <row r="34" spans="1:9" x14ac:dyDescent="0.25">
      <c r="A34" s="2">
        <v>2</v>
      </c>
      <c r="C34" s="2">
        <v>1</v>
      </c>
      <c r="D34" s="5"/>
      <c r="E34" s="2">
        <v>4</v>
      </c>
      <c r="G34" s="2">
        <v>1</v>
      </c>
      <c r="I34" s="2">
        <v>0</v>
      </c>
    </row>
    <row r="35" spans="1:9" x14ac:dyDescent="0.25">
      <c r="A35" s="2" t="s">
        <v>8</v>
      </c>
      <c r="C35" s="2" t="s">
        <v>8</v>
      </c>
      <c r="D35" s="5"/>
      <c r="E35" s="2" t="s">
        <v>8</v>
      </c>
      <c r="G35" s="2" t="s">
        <v>8</v>
      </c>
      <c r="I35" s="2" t="s">
        <v>8</v>
      </c>
    </row>
    <row r="36" spans="1:9" x14ac:dyDescent="0.25">
      <c r="A36" s="2">
        <v>5</v>
      </c>
      <c r="C36" s="2">
        <v>3</v>
      </c>
      <c r="D36" s="5"/>
      <c r="E36" s="2">
        <v>5</v>
      </c>
      <c r="G36" s="2">
        <v>6</v>
      </c>
      <c r="I36" s="2">
        <v>4</v>
      </c>
    </row>
    <row r="37" spans="1:9" ht="18.75" x14ac:dyDescent="0.3">
      <c r="A37" s="4" t="s">
        <v>13</v>
      </c>
      <c r="C37" s="4" t="s">
        <v>13</v>
      </c>
      <c r="D37" s="5"/>
      <c r="E37" s="4" t="s">
        <v>13</v>
      </c>
      <c r="G37" s="4" t="s">
        <v>13</v>
      </c>
      <c r="I37" s="4" t="s">
        <v>13</v>
      </c>
    </row>
    <row r="38" spans="1:9" x14ac:dyDescent="0.25">
      <c r="A38" s="2" t="s">
        <v>3</v>
      </c>
      <c r="C38" s="2" t="s">
        <v>3</v>
      </c>
      <c r="D38" s="5"/>
      <c r="E38" s="2" t="s">
        <v>3</v>
      </c>
      <c r="G38" s="2" t="s">
        <v>3</v>
      </c>
      <c r="I38" s="2" t="s">
        <v>3</v>
      </c>
    </row>
    <row r="39" spans="1:9" x14ac:dyDescent="0.25">
      <c r="A39" s="2"/>
      <c r="C39" s="2">
        <v>5</v>
      </c>
      <c r="D39" s="5"/>
      <c r="E39" s="2">
        <v>4</v>
      </c>
      <c r="G39" s="2">
        <v>3</v>
      </c>
      <c r="I39" s="2">
        <v>0</v>
      </c>
    </row>
    <row r="40" spans="1:9" x14ac:dyDescent="0.25">
      <c r="A40" s="2" t="s">
        <v>6</v>
      </c>
      <c r="C40" s="2" t="s">
        <v>6</v>
      </c>
      <c r="D40" s="5"/>
      <c r="E40" s="2" t="s">
        <v>6</v>
      </c>
      <c r="G40" s="2" t="s">
        <v>6</v>
      </c>
      <c r="I40" s="2" t="s">
        <v>6</v>
      </c>
    </row>
    <row r="41" spans="1:9" x14ac:dyDescent="0.25">
      <c r="A41" s="2"/>
      <c r="C41" s="2">
        <v>4</v>
      </c>
      <c r="D41" s="5"/>
      <c r="E41" s="2">
        <v>2</v>
      </c>
      <c r="G41" s="2">
        <v>5</v>
      </c>
      <c r="I41" s="2">
        <v>4</v>
      </c>
    </row>
    <row r="42" spans="1:9" x14ac:dyDescent="0.25">
      <c r="A42" s="2" t="s">
        <v>8</v>
      </c>
      <c r="C42" s="2" t="s">
        <v>8</v>
      </c>
      <c r="D42" s="5"/>
      <c r="E42" s="2" t="s">
        <v>8</v>
      </c>
      <c r="G42" s="2" t="s">
        <v>8</v>
      </c>
      <c r="I42" s="2" t="s">
        <v>8</v>
      </c>
    </row>
    <row r="43" spans="1:9" x14ac:dyDescent="0.25">
      <c r="A43" s="2"/>
      <c r="C43" s="2">
        <v>1</v>
      </c>
      <c r="D43" s="5"/>
      <c r="E43" s="2">
        <v>1</v>
      </c>
      <c r="G43" s="2">
        <v>0</v>
      </c>
      <c r="I43" s="2">
        <v>6</v>
      </c>
    </row>
    <row r="44" spans="1:9" ht="18.75" x14ac:dyDescent="0.3">
      <c r="A44" s="4" t="s">
        <v>14</v>
      </c>
      <c r="C44" s="4" t="s">
        <v>14</v>
      </c>
      <c r="D44" s="5"/>
      <c r="E44" s="4" t="s">
        <v>14</v>
      </c>
      <c r="G44" s="4" t="s">
        <v>14</v>
      </c>
      <c r="I44" s="4" t="s">
        <v>14</v>
      </c>
    </row>
    <row r="45" spans="1:9" x14ac:dyDescent="0.25">
      <c r="A45" s="2" t="s">
        <v>3</v>
      </c>
      <c r="C45" s="2" t="s">
        <v>3</v>
      </c>
      <c r="D45" s="5"/>
      <c r="E45" s="2" t="s">
        <v>3</v>
      </c>
      <c r="G45" s="2" t="s">
        <v>3</v>
      </c>
      <c r="I45" s="2" t="s">
        <v>3</v>
      </c>
    </row>
    <row r="46" spans="1:9" x14ac:dyDescent="0.25">
      <c r="A46" s="2">
        <v>1</v>
      </c>
      <c r="C46" s="2">
        <v>4</v>
      </c>
      <c r="D46" s="5"/>
      <c r="E46" s="2">
        <v>4</v>
      </c>
      <c r="G46" s="2"/>
      <c r="I46" s="2"/>
    </row>
    <row r="47" spans="1:9" x14ac:dyDescent="0.25">
      <c r="A47" s="2" t="s">
        <v>6</v>
      </c>
      <c r="C47" s="2" t="s">
        <v>6</v>
      </c>
      <c r="D47" s="5"/>
      <c r="E47" s="2" t="s">
        <v>6</v>
      </c>
      <c r="G47" s="2" t="s">
        <v>6</v>
      </c>
      <c r="I47" s="2" t="s">
        <v>6</v>
      </c>
    </row>
    <row r="48" spans="1:9" x14ac:dyDescent="0.25">
      <c r="A48" s="2">
        <v>4</v>
      </c>
      <c r="C48" s="2">
        <v>3</v>
      </c>
      <c r="D48" s="5"/>
      <c r="E48" s="2">
        <v>5</v>
      </c>
      <c r="G48" s="2"/>
      <c r="I48" s="2"/>
    </row>
    <row r="49" spans="1:13" x14ac:dyDescent="0.25">
      <c r="A49" s="2" t="s">
        <v>8</v>
      </c>
      <c r="C49" s="2" t="s">
        <v>8</v>
      </c>
      <c r="D49" s="5"/>
      <c r="E49" s="2" t="s">
        <v>8</v>
      </c>
      <c r="G49" s="2" t="s">
        <v>8</v>
      </c>
      <c r="I49" s="2" t="s">
        <v>8</v>
      </c>
    </row>
    <row r="50" spans="1:13" x14ac:dyDescent="0.25">
      <c r="A50" s="2">
        <v>6</v>
      </c>
      <c r="C50" s="2">
        <v>3</v>
      </c>
      <c r="D50" s="5"/>
      <c r="E50" s="2">
        <v>2</v>
      </c>
      <c r="G50" s="2"/>
      <c r="I50" s="2"/>
    </row>
    <row r="52" spans="1:13" x14ac:dyDescent="0.25">
      <c r="A52" s="13">
        <v>45628</v>
      </c>
      <c r="C52" s="13">
        <v>45635</v>
      </c>
      <c r="E52" s="13">
        <v>45642</v>
      </c>
      <c r="F52" s="6"/>
      <c r="G52" s="13">
        <v>45649</v>
      </c>
      <c r="H52" s="6"/>
      <c r="I52" s="13">
        <v>45656</v>
      </c>
    </row>
    <row r="53" spans="1:13" ht="18.75" x14ac:dyDescent="0.3">
      <c r="A53" s="3" t="s">
        <v>0</v>
      </c>
      <c r="B53" t="s">
        <v>15</v>
      </c>
      <c r="C53" s="3" t="s">
        <v>0</v>
      </c>
      <c r="D53" t="s">
        <v>15</v>
      </c>
      <c r="E53" s="3" t="s">
        <v>0</v>
      </c>
      <c r="F53" t="s">
        <v>15</v>
      </c>
      <c r="G53" s="3" t="s">
        <v>0</v>
      </c>
      <c r="H53" t="s">
        <v>15</v>
      </c>
      <c r="I53" s="3" t="s">
        <v>0</v>
      </c>
      <c r="J53" t="s">
        <v>15</v>
      </c>
      <c r="K53" s="4" t="s">
        <v>16</v>
      </c>
    </row>
    <row r="54" spans="1:13" x14ac:dyDescent="0.25">
      <c r="A54" s="2" t="s">
        <v>3</v>
      </c>
      <c r="B54" t="s">
        <v>5</v>
      </c>
      <c r="C54" s="2" t="s">
        <v>3</v>
      </c>
      <c r="D54" t="s">
        <v>5</v>
      </c>
      <c r="E54" s="2" t="s">
        <v>3</v>
      </c>
      <c r="F54" t="s">
        <v>5</v>
      </c>
      <c r="G54" s="2" t="s">
        <v>3</v>
      </c>
      <c r="H54" t="s">
        <v>5</v>
      </c>
      <c r="I54" s="2" t="s">
        <v>3</v>
      </c>
      <c r="J54" t="s">
        <v>5</v>
      </c>
      <c r="K54" s="6" t="s">
        <v>5</v>
      </c>
    </row>
    <row r="55" spans="1:13" x14ac:dyDescent="0.25">
      <c r="A55" s="2">
        <v>0</v>
      </c>
      <c r="B55">
        <f>SUM(A55,A62,A69,A76,A83,A90,A97)</f>
        <v>17</v>
      </c>
      <c r="C55" s="2">
        <v>1</v>
      </c>
      <c r="D55">
        <f>SUM(C55,C62,C69,C76,C83,C90,C97)</f>
        <v>17</v>
      </c>
      <c r="E55" s="2">
        <v>5</v>
      </c>
      <c r="F55">
        <f>SUM(E55,E62,E69,E76,E83,E90,E97)</f>
        <v>24</v>
      </c>
      <c r="G55" s="2"/>
      <c r="H55">
        <f>SUM(G55,G62,G69,G76,G83,G90,G97)</f>
        <v>8</v>
      </c>
      <c r="I55" s="2">
        <v>1</v>
      </c>
      <c r="J55">
        <f>SUM(I55,I62,I69,I76,I83,I90,I97)</f>
        <v>12</v>
      </c>
      <c r="K55" s="6">
        <f>SUM(J55,H55,F55,D55,B55)</f>
        <v>78</v>
      </c>
    </row>
    <row r="56" spans="1:13" x14ac:dyDescent="0.25">
      <c r="A56" s="2" t="s">
        <v>6</v>
      </c>
      <c r="B56" t="s">
        <v>7</v>
      </c>
      <c r="C56" s="2" t="s">
        <v>6</v>
      </c>
      <c r="D56" t="s">
        <v>7</v>
      </c>
      <c r="E56" s="2" t="s">
        <v>6</v>
      </c>
      <c r="F56" t="s">
        <v>7</v>
      </c>
      <c r="G56" s="2" t="s">
        <v>6</v>
      </c>
      <c r="H56" t="s">
        <v>7</v>
      </c>
      <c r="I56" s="2" t="s">
        <v>6</v>
      </c>
      <c r="J56" t="s">
        <v>7</v>
      </c>
      <c r="K56" s="6" t="s">
        <v>7</v>
      </c>
    </row>
    <row r="57" spans="1:13" x14ac:dyDescent="0.25">
      <c r="A57" s="2">
        <v>1</v>
      </c>
      <c r="B57">
        <f>SUM(A57,A64,A71,A78,A85,A92,A99)</f>
        <v>15</v>
      </c>
      <c r="C57" s="2">
        <v>3</v>
      </c>
      <c r="D57">
        <f>SUM(C57,C64,C71,C78,C85,C92,C99)</f>
        <v>20</v>
      </c>
      <c r="E57" s="2">
        <v>0</v>
      </c>
      <c r="F57">
        <f>SUM(E57,E64,E71,E78,E85,E92,E99)</f>
        <v>17</v>
      </c>
      <c r="G57" s="2">
        <v>1</v>
      </c>
      <c r="H57">
        <f>SUM(G57,G64,G71,G78,G85,G92,G99)</f>
        <v>10</v>
      </c>
      <c r="I57" s="2">
        <v>5</v>
      </c>
      <c r="J57">
        <f>SUM(I57,I64,I71,I78,I85,I92,I99)</f>
        <v>36</v>
      </c>
      <c r="K57" s="6">
        <f>SUM(J57,H57,F57,D57,B57)</f>
        <v>98</v>
      </c>
    </row>
    <row r="58" spans="1:13" x14ac:dyDescent="0.25">
      <c r="A58" s="2" t="s">
        <v>8</v>
      </c>
      <c r="B58" t="s">
        <v>8</v>
      </c>
      <c r="C58" s="2" t="s">
        <v>8</v>
      </c>
      <c r="D58" t="s">
        <v>8</v>
      </c>
      <c r="E58" s="2" t="s">
        <v>8</v>
      </c>
      <c r="F58" t="s">
        <v>8</v>
      </c>
      <c r="G58" s="2" t="s">
        <v>8</v>
      </c>
      <c r="H58" t="s">
        <v>8</v>
      </c>
      <c r="I58" s="2" t="s">
        <v>8</v>
      </c>
      <c r="J58" t="s">
        <v>8</v>
      </c>
      <c r="K58" s="6" t="s">
        <v>8</v>
      </c>
    </row>
    <row r="59" spans="1:13" x14ac:dyDescent="0.25">
      <c r="A59" s="2">
        <v>2</v>
      </c>
      <c r="B59">
        <f>SUM(A59,A66,A73,A80,A87,A94,A101)</f>
        <v>22</v>
      </c>
      <c r="C59" s="2">
        <v>11</v>
      </c>
      <c r="D59">
        <f>SUM(C59,C66,C73,C80,C87,C94,C101)</f>
        <v>46</v>
      </c>
      <c r="E59" s="2">
        <v>6</v>
      </c>
      <c r="F59">
        <f>SUM(E59,E66,E73,E80,E87,E94,E101)</f>
        <v>52</v>
      </c>
      <c r="G59" s="2"/>
      <c r="H59">
        <f>SUM(G59,G66,G73,G80,G87,G94,G101)</f>
        <v>12</v>
      </c>
      <c r="I59" s="2">
        <v>0</v>
      </c>
      <c r="J59">
        <f>SUM(I59,I66,I73,I80,I87,I94,I101)</f>
        <v>16</v>
      </c>
      <c r="K59" s="6">
        <f>SUM(J59,H59,F59,D59,B59)</f>
        <v>148</v>
      </c>
      <c r="L59" s="6">
        <f>SUM(K55,K57)-K59</f>
        <v>28</v>
      </c>
      <c r="M59" s="6"/>
    </row>
    <row r="60" spans="1:13" ht="18.75" x14ac:dyDescent="0.3">
      <c r="A60" s="4" t="s">
        <v>9</v>
      </c>
      <c r="C60" s="4" t="s">
        <v>9</v>
      </c>
      <c r="E60" s="4" t="s">
        <v>9</v>
      </c>
      <c r="G60" s="4" t="s">
        <v>9</v>
      </c>
      <c r="I60" s="4" t="s">
        <v>9</v>
      </c>
    </row>
    <row r="61" spans="1:13" x14ac:dyDescent="0.25">
      <c r="A61" s="2" t="s">
        <v>3</v>
      </c>
      <c r="C61" s="2" t="s">
        <v>3</v>
      </c>
      <c r="E61" s="2" t="s">
        <v>3</v>
      </c>
      <c r="G61" s="2" t="s">
        <v>3</v>
      </c>
      <c r="I61" s="2" t="s">
        <v>3</v>
      </c>
    </row>
    <row r="62" spans="1:13" x14ac:dyDescent="0.25">
      <c r="A62" s="2">
        <v>1</v>
      </c>
      <c r="C62" s="2">
        <v>1</v>
      </c>
      <c r="E62" s="2">
        <v>2</v>
      </c>
      <c r="G62" s="2">
        <v>1</v>
      </c>
      <c r="I62" s="2">
        <v>0</v>
      </c>
    </row>
    <row r="63" spans="1:13" x14ac:dyDescent="0.25">
      <c r="A63" s="2" t="s">
        <v>6</v>
      </c>
      <c r="C63" s="2" t="s">
        <v>6</v>
      </c>
      <c r="E63" s="2" t="s">
        <v>6</v>
      </c>
      <c r="G63" s="2" t="s">
        <v>6</v>
      </c>
      <c r="I63" s="2" t="s">
        <v>6</v>
      </c>
    </row>
    <row r="64" spans="1:13" x14ac:dyDescent="0.25">
      <c r="A64" s="2">
        <v>0</v>
      </c>
      <c r="C64" s="2">
        <v>1</v>
      </c>
      <c r="E64" s="2">
        <v>1</v>
      </c>
      <c r="G64" s="2"/>
      <c r="I64" s="2">
        <v>10</v>
      </c>
    </row>
    <row r="65" spans="1:9" x14ac:dyDescent="0.25">
      <c r="A65" s="2" t="s">
        <v>8</v>
      </c>
      <c r="C65" s="2" t="s">
        <v>8</v>
      </c>
      <c r="E65" s="2" t="s">
        <v>8</v>
      </c>
      <c r="G65" s="2" t="s">
        <v>8</v>
      </c>
      <c r="I65" s="2" t="s">
        <v>8</v>
      </c>
    </row>
    <row r="66" spans="1:9" x14ac:dyDescent="0.25">
      <c r="A66" s="2">
        <v>4</v>
      </c>
      <c r="C66" s="2">
        <v>6</v>
      </c>
      <c r="E66" s="2">
        <v>11</v>
      </c>
      <c r="G66" s="2">
        <v>2</v>
      </c>
      <c r="I66" s="2">
        <v>1</v>
      </c>
    </row>
    <row r="67" spans="1:9" ht="18.75" x14ac:dyDescent="0.3">
      <c r="A67" s="4" t="s">
        <v>10</v>
      </c>
      <c r="C67" s="4" t="s">
        <v>10</v>
      </c>
      <c r="E67" s="4" t="s">
        <v>10</v>
      </c>
      <c r="G67" s="4" t="s">
        <v>10</v>
      </c>
      <c r="I67" s="4" t="s">
        <v>10</v>
      </c>
    </row>
    <row r="68" spans="1:9" x14ac:dyDescent="0.25">
      <c r="A68" s="2" t="s">
        <v>3</v>
      </c>
      <c r="C68" s="2" t="s">
        <v>3</v>
      </c>
      <c r="E68" s="2" t="s">
        <v>3</v>
      </c>
      <c r="G68" s="2" t="s">
        <v>3</v>
      </c>
      <c r="I68" s="2" t="s">
        <v>3</v>
      </c>
    </row>
    <row r="69" spans="1:9" x14ac:dyDescent="0.25">
      <c r="A69" s="2">
        <v>4</v>
      </c>
      <c r="C69" s="2">
        <v>3</v>
      </c>
      <c r="E69" s="2">
        <v>8</v>
      </c>
      <c r="G69" s="2">
        <v>1</v>
      </c>
      <c r="I69" s="2">
        <v>0</v>
      </c>
    </row>
    <row r="70" spans="1:9" x14ac:dyDescent="0.25">
      <c r="A70" s="2" t="s">
        <v>6</v>
      </c>
      <c r="C70" s="2" t="s">
        <v>6</v>
      </c>
      <c r="E70" s="2" t="s">
        <v>6</v>
      </c>
      <c r="G70" s="2" t="s">
        <v>6</v>
      </c>
      <c r="I70" s="2" t="s">
        <v>6</v>
      </c>
    </row>
    <row r="71" spans="1:9" x14ac:dyDescent="0.25">
      <c r="A71" s="2">
        <v>3</v>
      </c>
      <c r="C71" s="2">
        <v>8</v>
      </c>
      <c r="E71" s="2">
        <v>1</v>
      </c>
      <c r="G71" s="2">
        <v>1</v>
      </c>
      <c r="I71" s="2">
        <v>3</v>
      </c>
    </row>
    <row r="72" spans="1:9" x14ac:dyDescent="0.25">
      <c r="A72" s="2" t="s">
        <v>8</v>
      </c>
      <c r="C72" s="2" t="s">
        <v>8</v>
      </c>
      <c r="E72" s="2" t="s">
        <v>8</v>
      </c>
      <c r="G72" s="2" t="s">
        <v>8</v>
      </c>
      <c r="I72" s="2" t="s">
        <v>8</v>
      </c>
    </row>
    <row r="73" spans="1:9" x14ac:dyDescent="0.25">
      <c r="A73" s="2">
        <v>4</v>
      </c>
      <c r="C73" s="2">
        <v>4</v>
      </c>
      <c r="E73" s="2">
        <v>6</v>
      </c>
      <c r="G73" s="2">
        <v>1</v>
      </c>
      <c r="I73" s="2">
        <v>4</v>
      </c>
    </row>
    <row r="74" spans="1:9" ht="18.75" x14ac:dyDescent="0.3">
      <c r="A74" s="4" t="s">
        <v>11</v>
      </c>
      <c r="C74" s="4" t="s">
        <v>11</v>
      </c>
      <c r="E74" s="4" t="s">
        <v>11</v>
      </c>
      <c r="G74" s="4" t="s">
        <v>11</v>
      </c>
      <c r="I74" s="4" t="s">
        <v>11</v>
      </c>
    </row>
    <row r="75" spans="1:9" x14ac:dyDescent="0.25">
      <c r="A75" s="2" t="s">
        <v>3</v>
      </c>
      <c r="C75" s="2" t="s">
        <v>3</v>
      </c>
      <c r="E75" s="2" t="s">
        <v>3</v>
      </c>
      <c r="G75" s="2" t="s">
        <v>3</v>
      </c>
      <c r="I75" s="2" t="s">
        <v>3</v>
      </c>
    </row>
    <row r="76" spans="1:9" x14ac:dyDescent="0.25">
      <c r="A76" s="2">
        <v>3</v>
      </c>
      <c r="C76" s="2">
        <v>6</v>
      </c>
      <c r="E76" s="2">
        <v>2</v>
      </c>
      <c r="G76" s="2">
        <v>6</v>
      </c>
      <c r="I76" s="2">
        <v>5</v>
      </c>
    </row>
    <row r="77" spans="1:9" x14ac:dyDescent="0.25">
      <c r="A77" s="2" t="s">
        <v>6</v>
      </c>
      <c r="C77" s="2" t="s">
        <v>6</v>
      </c>
      <c r="E77" s="2" t="s">
        <v>6</v>
      </c>
      <c r="G77" s="2" t="s">
        <v>6</v>
      </c>
      <c r="I77" s="2" t="s">
        <v>6</v>
      </c>
    </row>
    <row r="78" spans="1:9" x14ac:dyDescent="0.25">
      <c r="A78" s="2">
        <v>6</v>
      </c>
      <c r="C78" s="2">
        <v>1</v>
      </c>
      <c r="E78" s="2">
        <v>13</v>
      </c>
      <c r="G78" s="2">
        <v>5</v>
      </c>
      <c r="I78" s="2">
        <v>7</v>
      </c>
    </row>
    <row r="79" spans="1:9" x14ac:dyDescent="0.25">
      <c r="A79" s="2" t="s">
        <v>8</v>
      </c>
      <c r="C79" s="2" t="s">
        <v>8</v>
      </c>
      <c r="E79" s="2" t="s">
        <v>8</v>
      </c>
      <c r="G79" s="2" t="s">
        <v>8</v>
      </c>
      <c r="I79" s="2" t="s">
        <v>8</v>
      </c>
    </row>
    <row r="80" spans="1:9" x14ac:dyDescent="0.25">
      <c r="A80" s="2">
        <v>8</v>
      </c>
      <c r="C80" s="2">
        <v>7</v>
      </c>
      <c r="E80" s="2">
        <v>5</v>
      </c>
      <c r="G80" s="2">
        <v>4</v>
      </c>
      <c r="I80" s="2">
        <v>6</v>
      </c>
    </row>
    <row r="81" spans="1:9" ht="18.75" x14ac:dyDescent="0.3">
      <c r="A81" s="4" t="s">
        <v>12</v>
      </c>
      <c r="C81" s="4" t="s">
        <v>12</v>
      </c>
      <c r="E81" s="4" t="s">
        <v>12</v>
      </c>
      <c r="G81" s="4" t="s">
        <v>12</v>
      </c>
      <c r="I81" s="4" t="s">
        <v>12</v>
      </c>
    </row>
    <row r="82" spans="1:9" x14ac:dyDescent="0.25">
      <c r="A82" s="2" t="s">
        <v>3</v>
      </c>
      <c r="C82" s="2" t="s">
        <v>3</v>
      </c>
      <c r="E82" s="2" t="s">
        <v>3</v>
      </c>
      <c r="G82" s="2" t="s">
        <v>3</v>
      </c>
      <c r="I82" s="2" t="s">
        <v>3</v>
      </c>
    </row>
    <row r="83" spans="1:9" x14ac:dyDescent="0.25">
      <c r="A83" s="2">
        <v>1</v>
      </c>
      <c r="C83" s="2"/>
      <c r="E83" s="2">
        <v>5</v>
      </c>
      <c r="G83" s="2"/>
      <c r="I83" s="2">
        <v>4</v>
      </c>
    </row>
    <row r="84" spans="1:9" x14ac:dyDescent="0.25">
      <c r="A84" s="2" t="s">
        <v>6</v>
      </c>
      <c r="C84" s="2" t="s">
        <v>6</v>
      </c>
      <c r="E84" s="2" t="s">
        <v>6</v>
      </c>
      <c r="G84" s="2" t="s">
        <v>6</v>
      </c>
      <c r="I84" s="2" t="s">
        <v>6</v>
      </c>
    </row>
    <row r="85" spans="1:9" x14ac:dyDescent="0.25">
      <c r="A85" s="2">
        <v>0</v>
      </c>
      <c r="C85" s="2">
        <v>5</v>
      </c>
      <c r="E85" s="2">
        <v>0</v>
      </c>
      <c r="G85" s="2">
        <v>3</v>
      </c>
      <c r="I85" s="2">
        <v>5</v>
      </c>
    </row>
    <row r="86" spans="1:9" x14ac:dyDescent="0.25">
      <c r="A86" s="2" t="s">
        <v>8</v>
      </c>
      <c r="C86" s="2" t="s">
        <v>8</v>
      </c>
      <c r="E86" s="2" t="s">
        <v>8</v>
      </c>
      <c r="G86" s="2" t="s">
        <v>8</v>
      </c>
      <c r="I86" s="2" t="s">
        <v>8</v>
      </c>
    </row>
    <row r="87" spans="1:9" x14ac:dyDescent="0.25">
      <c r="A87" s="2">
        <v>1</v>
      </c>
      <c r="C87" s="2">
        <v>5</v>
      </c>
      <c r="E87" s="2">
        <v>6</v>
      </c>
      <c r="G87" s="2">
        <v>1</v>
      </c>
      <c r="I87" s="2">
        <v>0</v>
      </c>
    </row>
    <row r="88" spans="1:9" ht="18.75" x14ac:dyDescent="0.3">
      <c r="A88" s="4" t="s">
        <v>13</v>
      </c>
      <c r="C88" s="4" t="s">
        <v>13</v>
      </c>
      <c r="E88" s="4" t="s">
        <v>13</v>
      </c>
      <c r="G88" s="4" t="s">
        <v>13</v>
      </c>
      <c r="I88" s="4" t="s">
        <v>13</v>
      </c>
    </row>
    <row r="89" spans="1:9" x14ac:dyDescent="0.25">
      <c r="A89" s="2" t="s">
        <v>3</v>
      </c>
      <c r="C89" s="2" t="s">
        <v>3</v>
      </c>
      <c r="E89" s="2" t="s">
        <v>3</v>
      </c>
      <c r="G89" s="2" t="s">
        <v>3</v>
      </c>
      <c r="I89" s="2" t="s">
        <v>3</v>
      </c>
    </row>
    <row r="90" spans="1:9" x14ac:dyDescent="0.25">
      <c r="A90" s="2">
        <v>6</v>
      </c>
      <c r="C90" s="2">
        <v>2</v>
      </c>
      <c r="E90" s="2">
        <v>1</v>
      </c>
      <c r="G90" s="2"/>
      <c r="I90" s="2">
        <v>0</v>
      </c>
    </row>
    <row r="91" spans="1:9" x14ac:dyDescent="0.25">
      <c r="A91" s="2" t="s">
        <v>6</v>
      </c>
      <c r="C91" s="2" t="s">
        <v>6</v>
      </c>
      <c r="E91" s="2" t="s">
        <v>6</v>
      </c>
      <c r="G91" s="2" t="s">
        <v>6</v>
      </c>
      <c r="I91" s="2" t="s">
        <v>6</v>
      </c>
    </row>
    <row r="92" spans="1:9" x14ac:dyDescent="0.25">
      <c r="A92" s="2">
        <v>2</v>
      </c>
      <c r="C92" s="2">
        <v>1</v>
      </c>
      <c r="E92" s="2">
        <v>0</v>
      </c>
      <c r="G92" s="2"/>
      <c r="I92" s="2">
        <v>1</v>
      </c>
    </row>
    <row r="93" spans="1:9" x14ac:dyDescent="0.25">
      <c r="A93" s="2" t="s">
        <v>8</v>
      </c>
      <c r="C93" s="2" t="s">
        <v>8</v>
      </c>
      <c r="E93" s="2" t="s">
        <v>8</v>
      </c>
      <c r="G93" s="2" t="s">
        <v>8</v>
      </c>
      <c r="I93" s="2" t="s">
        <v>8</v>
      </c>
    </row>
    <row r="94" spans="1:9" x14ac:dyDescent="0.25">
      <c r="A94" s="2">
        <v>2</v>
      </c>
      <c r="C94" s="2">
        <v>3</v>
      </c>
      <c r="E94" s="2">
        <v>7</v>
      </c>
      <c r="G94" s="2">
        <v>4</v>
      </c>
      <c r="I94" s="2">
        <v>3</v>
      </c>
    </row>
    <row r="95" spans="1:9" ht="18.75" x14ac:dyDescent="0.3">
      <c r="A95" s="4" t="s">
        <v>14</v>
      </c>
      <c r="C95" s="4" t="s">
        <v>14</v>
      </c>
      <c r="E95" s="4" t="s">
        <v>14</v>
      </c>
      <c r="G95" s="4" t="s">
        <v>14</v>
      </c>
      <c r="I95" s="4" t="s">
        <v>14</v>
      </c>
    </row>
    <row r="96" spans="1:9" x14ac:dyDescent="0.25">
      <c r="A96" s="2" t="s">
        <v>3</v>
      </c>
      <c r="C96" s="2" t="s">
        <v>3</v>
      </c>
      <c r="E96" s="2" t="s">
        <v>3</v>
      </c>
      <c r="G96" s="2" t="s">
        <v>3</v>
      </c>
      <c r="I96" s="2" t="s">
        <v>3</v>
      </c>
    </row>
    <row r="97" spans="1:10" x14ac:dyDescent="0.25">
      <c r="A97" s="2">
        <v>2</v>
      </c>
      <c r="C97" s="2">
        <v>4</v>
      </c>
      <c r="E97" s="2">
        <v>1</v>
      </c>
      <c r="G97" s="2"/>
      <c r="I97" s="2">
        <v>2</v>
      </c>
    </row>
    <row r="98" spans="1:10" x14ac:dyDescent="0.25">
      <c r="A98" s="2" t="s">
        <v>6</v>
      </c>
      <c r="C98" s="2" t="s">
        <v>6</v>
      </c>
      <c r="E98" s="2" t="s">
        <v>6</v>
      </c>
      <c r="G98" s="2" t="s">
        <v>6</v>
      </c>
      <c r="I98" s="2" t="s">
        <v>6</v>
      </c>
    </row>
    <row r="99" spans="1:10" x14ac:dyDescent="0.25">
      <c r="A99" s="2">
        <v>3</v>
      </c>
      <c r="C99" s="2">
        <v>1</v>
      </c>
      <c r="E99" s="2">
        <v>2</v>
      </c>
      <c r="G99" s="2"/>
      <c r="I99" s="2">
        <v>5</v>
      </c>
    </row>
    <row r="100" spans="1:10" x14ac:dyDescent="0.25">
      <c r="A100" s="2" t="s">
        <v>8</v>
      </c>
      <c r="C100" s="2" t="s">
        <v>8</v>
      </c>
      <c r="E100" s="2" t="s">
        <v>8</v>
      </c>
      <c r="G100" s="2" t="s">
        <v>8</v>
      </c>
      <c r="I100" s="2" t="s">
        <v>8</v>
      </c>
    </row>
    <row r="101" spans="1:10" x14ac:dyDescent="0.25">
      <c r="A101" s="2">
        <v>1</v>
      </c>
      <c r="C101" s="2">
        <v>10</v>
      </c>
      <c r="E101" s="2">
        <v>11</v>
      </c>
      <c r="G101" s="2"/>
      <c r="I101" s="2">
        <v>2</v>
      </c>
    </row>
    <row r="103" spans="1:10" x14ac:dyDescent="0.25">
      <c r="A103" s="13">
        <v>45663</v>
      </c>
      <c r="C103" s="13">
        <v>45670</v>
      </c>
      <c r="E103" s="13">
        <v>45677</v>
      </c>
      <c r="F103" s="6"/>
      <c r="G103" s="13">
        <v>45684</v>
      </c>
      <c r="H103" s="13"/>
      <c r="I103" s="13"/>
      <c r="J103" s="6"/>
    </row>
    <row r="104" spans="1:10" ht="18.75" x14ac:dyDescent="0.3">
      <c r="A104" s="3" t="s">
        <v>0</v>
      </c>
      <c r="B104" t="s">
        <v>15</v>
      </c>
      <c r="C104" s="3" t="s">
        <v>0</v>
      </c>
      <c r="D104" t="s">
        <v>15</v>
      </c>
      <c r="E104" s="3" t="s">
        <v>0</v>
      </c>
      <c r="F104" t="s">
        <v>15</v>
      </c>
      <c r="G104" s="3" t="s">
        <v>0</v>
      </c>
      <c r="H104" t="s">
        <v>15</v>
      </c>
      <c r="I104" s="4" t="s">
        <v>17</v>
      </c>
    </row>
    <row r="105" spans="1:10" x14ac:dyDescent="0.25">
      <c r="A105" s="2" t="s">
        <v>3</v>
      </c>
      <c r="B105" t="s">
        <v>5</v>
      </c>
      <c r="C105" s="2" t="s">
        <v>3</v>
      </c>
      <c r="D105" t="s">
        <v>5</v>
      </c>
      <c r="E105" s="2" t="s">
        <v>3</v>
      </c>
      <c r="F105" t="s">
        <v>5</v>
      </c>
      <c r="G105" s="2" t="s">
        <v>3</v>
      </c>
      <c r="H105" t="s">
        <v>5</v>
      </c>
      <c r="I105" s="6" t="s">
        <v>5</v>
      </c>
    </row>
    <row r="106" spans="1:10" x14ac:dyDescent="0.25">
      <c r="A106" s="2">
        <v>6</v>
      </c>
      <c r="B106">
        <f>SUM(A106,A113,A120,A127,A134,A141,A148)</f>
        <v>45</v>
      </c>
      <c r="C106" s="2">
        <v>4</v>
      </c>
      <c r="D106">
        <f>SUM(C106,C113,C120,C127,C134,C141,C148)</f>
        <v>29</v>
      </c>
      <c r="E106" s="2">
        <v>2</v>
      </c>
      <c r="F106">
        <f>SUM(E106,E113,E120,E127,E134,E141,E148)</f>
        <v>19</v>
      </c>
      <c r="G106" s="2">
        <v>5</v>
      </c>
      <c r="H106">
        <f>SUM(G106,G113,G120,G127,G134,G141,G148)</f>
        <v>27</v>
      </c>
      <c r="I106" s="6">
        <f>SUM(H106,F106,D106,B106)</f>
        <v>120</v>
      </c>
    </row>
    <row r="107" spans="1:10" x14ac:dyDescent="0.25">
      <c r="A107" s="2" t="s">
        <v>6</v>
      </c>
      <c r="B107" t="s">
        <v>7</v>
      </c>
      <c r="C107" s="2" t="s">
        <v>6</v>
      </c>
      <c r="D107" t="s">
        <v>7</v>
      </c>
      <c r="E107" s="2" t="s">
        <v>6</v>
      </c>
      <c r="F107" t="s">
        <v>7</v>
      </c>
      <c r="G107" s="2" t="s">
        <v>6</v>
      </c>
      <c r="H107" t="s">
        <v>7</v>
      </c>
      <c r="I107" s="6" t="s">
        <v>7</v>
      </c>
    </row>
    <row r="108" spans="1:10" x14ac:dyDescent="0.25">
      <c r="A108" s="2">
        <v>4</v>
      </c>
      <c r="B108">
        <f>SUM(A108,A115,A122,A129,A136,A143,A150)</f>
        <v>21</v>
      </c>
      <c r="C108" s="2">
        <v>0</v>
      </c>
      <c r="D108">
        <f>SUM(C108,C115,C122,C129,C136,C143,C150)</f>
        <v>14</v>
      </c>
      <c r="E108" s="2">
        <v>3</v>
      </c>
      <c r="F108">
        <f>SUM(E108,E115,E122,E129,E136,E143,E150)</f>
        <v>20</v>
      </c>
      <c r="G108" s="2">
        <v>2</v>
      </c>
      <c r="H108">
        <f>SUM(G108,G115,G122,G129,G136,G143,G150)</f>
        <v>7</v>
      </c>
      <c r="I108" s="6">
        <f>SUM(H108,F108,D108,B108)</f>
        <v>62</v>
      </c>
    </row>
    <row r="109" spans="1:10" x14ac:dyDescent="0.25">
      <c r="A109" s="2" t="s">
        <v>8</v>
      </c>
      <c r="B109" t="s">
        <v>8</v>
      </c>
      <c r="C109" s="2" t="s">
        <v>8</v>
      </c>
      <c r="D109" t="s">
        <v>8</v>
      </c>
      <c r="E109" s="2" t="s">
        <v>8</v>
      </c>
      <c r="F109" t="s">
        <v>8</v>
      </c>
      <c r="G109" s="2" t="s">
        <v>8</v>
      </c>
      <c r="H109" t="s">
        <v>8</v>
      </c>
      <c r="I109" s="6" t="s">
        <v>8</v>
      </c>
    </row>
    <row r="110" spans="1:10" x14ac:dyDescent="0.25">
      <c r="A110" s="2">
        <v>2</v>
      </c>
      <c r="B110">
        <f>SUM(A110,A117,A124,A131,A138,A145,A152)</f>
        <v>21</v>
      </c>
      <c r="C110" s="2">
        <v>7</v>
      </c>
      <c r="D110">
        <f>SUM(C110,C117,C124,C131,C138,C145,C152)</f>
        <v>26</v>
      </c>
      <c r="E110" s="2">
        <v>2</v>
      </c>
      <c r="F110">
        <f>SUM(E110,E117,E124,E131,E138,E145,E152)</f>
        <v>12</v>
      </c>
      <c r="G110" s="2">
        <v>3</v>
      </c>
      <c r="H110">
        <f>SUM(G110,G117,G124,G131,G138,G145,G152)</f>
        <v>23</v>
      </c>
      <c r="I110" s="6">
        <f>SUM(H110,F110,D110,B110)</f>
        <v>82</v>
      </c>
      <c r="J110" s="6">
        <f>SUM(I106,I108)-I110</f>
        <v>100</v>
      </c>
    </row>
    <row r="111" spans="1:10" ht="18.75" x14ac:dyDescent="0.3">
      <c r="A111" s="4" t="s">
        <v>9</v>
      </c>
      <c r="C111" s="4" t="s">
        <v>9</v>
      </c>
      <c r="E111" s="4" t="s">
        <v>9</v>
      </c>
      <c r="G111" s="4" t="s">
        <v>9</v>
      </c>
    </row>
    <row r="112" spans="1:10" x14ac:dyDescent="0.25">
      <c r="A112" s="2" t="s">
        <v>3</v>
      </c>
      <c r="C112" s="2" t="s">
        <v>3</v>
      </c>
      <c r="E112" s="2" t="s">
        <v>3</v>
      </c>
      <c r="G112" s="2" t="s">
        <v>3</v>
      </c>
    </row>
    <row r="113" spans="1:7" x14ac:dyDescent="0.25">
      <c r="A113" s="2">
        <v>11</v>
      </c>
      <c r="C113" s="2">
        <v>1</v>
      </c>
      <c r="E113" s="2">
        <v>6</v>
      </c>
      <c r="G113" s="2">
        <v>4</v>
      </c>
    </row>
    <row r="114" spans="1:7" x14ac:dyDescent="0.25">
      <c r="A114" s="2" t="s">
        <v>6</v>
      </c>
      <c r="C114" s="2" t="s">
        <v>6</v>
      </c>
      <c r="E114" s="2" t="s">
        <v>6</v>
      </c>
      <c r="G114" s="2" t="s">
        <v>6</v>
      </c>
    </row>
    <row r="115" spans="1:7" x14ac:dyDescent="0.25">
      <c r="A115" s="2">
        <v>1</v>
      </c>
      <c r="C115" s="2">
        <v>5</v>
      </c>
      <c r="E115" s="2">
        <v>3</v>
      </c>
      <c r="G115" s="2">
        <v>1</v>
      </c>
    </row>
    <row r="116" spans="1:7" x14ac:dyDescent="0.25">
      <c r="A116" s="2" t="s">
        <v>8</v>
      </c>
      <c r="C116" s="2" t="s">
        <v>8</v>
      </c>
      <c r="E116" s="2" t="s">
        <v>8</v>
      </c>
      <c r="G116" s="2" t="s">
        <v>8</v>
      </c>
    </row>
    <row r="117" spans="1:7" x14ac:dyDescent="0.25">
      <c r="A117" s="2">
        <v>5</v>
      </c>
      <c r="C117" s="2">
        <v>3</v>
      </c>
      <c r="E117" s="2">
        <v>0</v>
      </c>
      <c r="G117" s="2">
        <v>5</v>
      </c>
    </row>
    <row r="118" spans="1:7" ht="18.75" x14ac:dyDescent="0.3">
      <c r="A118" s="4" t="s">
        <v>10</v>
      </c>
      <c r="C118" s="4" t="s">
        <v>10</v>
      </c>
      <c r="E118" s="4" t="s">
        <v>10</v>
      </c>
      <c r="G118" s="4" t="s">
        <v>10</v>
      </c>
    </row>
    <row r="119" spans="1:7" x14ac:dyDescent="0.25">
      <c r="A119" s="2" t="s">
        <v>3</v>
      </c>
      <c r="C119" s="2" t="s">
        <v>3</v>
      </c>
      <c r="E119" s="2" t="s">
        <v>3</v>
      </c>
      <c r="G119" s="2" t="s">
        <v>3</v>
      </c>
    </row>
    <row r="120" spans="1:7" x14ac:dyDescent="0.25">
      <c r="A120" s="2">
        <v>3</v>
      </c>
      <c r="C120" s="2">
        <v>4</v>
      </c>
      <c r="E120" s="2">
        <v>1</v>
      </c>
      <c r="G120" s="2">
        <v>1</v>
      </c>
    </row>
    <row r="121" spans="1:7" x14ac:dyDescent="0.25">
      <c r="A121" s="2" t="s">
        <v>6</v>
      </c>
      <c r="C121" s="2" t="s">
        <v>6</v>
      </c>
      <c r="E121" s="2" t="s">
        <v>6</v>
      </c>
      <c r="G121" s="2" t="s">
        <v>6</v>
      </c>
    </row>
    <row r="122" spans="1:7" x14ac:dyDescent="0.25">
      <c r="A122" s="2">
        <v>3</v>
      </c>
      <c r="C122" s="2">
        <v>1</v>
      </c>
      <c r="E122" s="2">
        <v>0</v>
      </c>
      <c r="G122" s="2">
        <v>0</v>
      </c>
    </row>
    <row r="123" spans="1:7" x14ac:dyDescent="0.25">
      <c r="A123" s="2" t="s">
        <v>8</v>
      </c>
      <c r="C123" s="2" t="s">
        <v>8</v>
      </c>
      <c r="E123" s="2" t="s">
        <v>8</v>
      </c>
      <c r="G123" s="2" t="s">
        <v>8</v>
      </c>
    </row>
    <row r="124" spans="1:7" x14ac:dyDescent="0.25">
      <c r="A124" s="2">
        <v>1</v>
      </c>
      <c r="C124" s="2">
        <v>3</v>
      </c>
      <c r="E124" s="2">
        <v>2</v>
      </c>
      <c r="G124" s="2">
        <v>4</v>
      </c>
    </row>
    <row r="125" spans="1:7" ht="18.75" x14ac:dyDescent="0.3">
      <c r="A125" s="4" t="s">
        <v>11</v>
      </c>
      <c r="C125" s="4" t="s">
        <v>11</v>
      </c>
      <c r="E125" s="4" t="s">
        <v>11</v>
      </c>
      <c r="G125" s="4" t="s">
        <v>11</v>
      </c>
    </row>
    <row r="126" spans="1:7" x14ac:dyDescent="0.25">
      <c r="A126" s="2" t="s">
        <v>3</v>
      </c>
      <c r="C126" s="2" t="s">
        <v>3</v>
      </c>
      <c r="E126" s="2" t="s">
        <v>3</v>
      </c>
      <c r="G126" s="2" t="s">
        <v>3</v>
      </c>
    </row>
    <row r="127" spans="1:7" x14ac:dyDescent="0.25">
      <c r="A127" s="2">
        <v>7</v>
      </c>
      <c r="C127" s="2">
        <v>3</v>
      </c>
      <c r="E127" s="2">
        <v>7</v>
      </c>
      <c r="G127" s="2">
        <v>1</v>
      </c>
    </row>
    <row r="128" spans="1:7" x14ac:dyDescent="0.25">
      <c r="A128" s="2" t="s">
        <v>6</v>
      </c>
      <c r="C128" s="2" t="s">
        <v>6</v>
      </c>
      <c r="E128" s="2" t="s">
        <v>6</v>
      </c>
      <c r="G128" s="2" t="s">
        <v>6</v>
      </c>
    </row>
    <row r="129" spans="1:7" x14ac:dyDescent="0.25">
      <c r="A129" s="2">
        <v>3</v>
      </c>
      <c r="C129" s="2">
        <v>5</v>
      </c>
      <c r="E129" s="2">
        <v>1</v>
      </c>
      <c r="G129" s="2">
        <v>0</v>
      </c>
    </row>
    <row r="130" spans="1:7" x14ac:dyDescent="0.25">
      <c r="A130" s="2" t="s">
        <v>8</v>
      </c>
      <c r="C130" s="2" t="s">
        <v>8</v>
      </c>
      <c r="E130" s="2" t="s">
        <v>8</v>
      </c>
      <c r="G130" s="2" t="s">
        <v>8</v>
      </c>
    </row>
    <row r="131" spans="1:7" x14ac:dyDescent="0.25">
      <c r="A131" s="2">
        <v>3</v>
      </c>
      <c r="C131" s="2">
        <v>10</v>
      </c>
      <c r="E131" s="2">
        <v>3</v>
      </c>
      <c r="G131" s="2">
        <v>5</v>
      </c>
    </row>
    <row r="132" spans="1:7" ht="18.75" x14ac:dyDescent="0.3">
      <c r="A132" s="4" t="s">
        <v>12</v>
      </c>
      <c r="C132" s="4" t="s">
        <v>12</v>
      </c>
      <c r="E132" s="4" t="s">
        <v>12</v>
      </c>
      <c r="G132" s="4" t="s">
        <v>12</v>
      </c>
    </row>
    <row r="133" spans="1:7" x14ac:dyDescent="0.25">
      <c r="A133" s="2" t="s">
        <v>3</v>
      </c>
      <c r="C133" s="2" t="s">
        <v>3</v>
      </c>
      <c r="E133" s="2" t="s">
        <v>3</v>
      </c>
      <c r="G133" s="2" t="s">
        <v>3</v>
      </c>
    </row>
    <row r="134" spans="1:7" x14ac:dyDescent="0.25">
      <c r="A134" s="2">
        <v>8</v>
      </c>
      <c r="C134" s="2">
        <v>4</v>
      </c>
      <c r="E134" s="2">
        <v>0</v>
      </c>
      <c r="G134" s="2">
        <v>6</v>
      </c>
    </row>
    <row r="135" spans="1:7" x14ac:dyDescent="0.25">
      <c r="A135" s="2" t="s">
        <v>6</v>
      </c>
      <c r="C135" s="2" t="s">
        <v>6</v>
      </c>
      <c r="E135" s="2" t="s">
        <v>6</v>
      </c>
      <c r="G135" s="2" t="s">
        <v>6</v>
      </c>
    </row>
    <row r="136" spans="1:7" x14ac:dyDescent="0.25">
      <c r="A136" s="2">
        <v>4</v>
      </c>
      <c r="C136" s="2">
        <v>0</v>
      </c>
      <c r="E136" s="2">
        <v>6</v>
      </c>
      <c r="G136" s="2">
        <v>2</v>
      </c>
    </row>
    <row r="137" spans="1:7" x14ac:dyDescent="0.25">
      <c r="A137" s="2" t="s">
        <v>8</v>
      </c>
      <c r="C137" s="2" t="s">
        <v>8</v>
      </c>
      <c r="E137" s="2" t="s">
        <v>8</v>
      </c>
      <c r="G137" s="2" t="s">
        <v>8</v>
      </c>
    </row>
    <row r="138" spans="1:7" x14ac:dyDescent="0.25">
      <c r="A138" s="2">
        <v>3</v>
      </c>
      <c r="C138" s="2">
        <v>1</v>
      </c>
      <c r="E138" s="2">
        <v>2</v>
      </c>
      <c r="G138" s="2">
        <v>1</v>
      </c>
    </row>
    <row r="139" spans="1:7" ht="18.75" x14ac:dyDescent="0.3">
      <c r="A139" s="4" t="s">
        <v>18</v>
      </c>
      <c r="C139" s="4" t="s">
        <v>19</v>
      </c>
      <c r="E139" s="4" t="s">
        <v>19</v>
      </c>
      <c r="G139" s="4" t="s">
        <v>20</v>
      </c>
    </row>
    <row r="140" spans="1:7" x14ac:dyDescent="0.25">
      <c r="A140" s="2" t="s">
        <v>3</v>
      </c>
      <c r="C140" s="2" t="s">
        <v>3</v>
      </c>
      <c r="E140" s="2" t="s">
        <v>3</v>
      </c>
      <c r="G140" s="2" t="s">
        <v>3</v>
      </c>
    </row>
    <row r="141" spans="1:7" x14ac:dyDescent="0.25">
      <c r="A141" s="2">
        <v>3</v>
      </c>
      <c r="C141" s="2">
        <v>5</v>
      </c>
      <c r="E141" s="2">
        <v>1</v>
      </c>
      <c r="G141" s="2">
        <v>5</v>
      </c>
    </row>
    <row r="142" spans="1:7" x14ac:dyDescent="0.25">
      <c r="A142" s="2" t="s">
        <v>6</v>
      </c>
      <c r="C142" s="2" t="s">
        <v>6</v>
      </c>
      <c r="E142" s="2" t="s">
        <v>6</v>
      </c>
      <c r="G142" s="2" t="s">
        <v>6</v>
      </c>
    </row>
    <row r="143" spans="1:7" x14ac:dyDescent="0.25">
      <c r="A143" s="2">
        <v>2</v>
      </c>
      <c r="C143" s="2">
        <v>1</v>
      </c>
      <c r="E143" s="2">
        <v>3</v>
      </c>
      <c r="G143" s="2">
        <v>0</v>
      </c>
    </row>
    <row r="144" spans="1:7" x14ac:dyDescent="0.25">
      <c r="A144" s="2" t="s">
        <v>8</v>
      </c>
      <c r="C144" s="2" t="s">
        <v>8</v>
      </c>
      <c r="E144" s="2" t="s">
        <v>8</v>
      </c>
      <c r="G144" s="2" t="s">
        <v>8</v>
      </c>
    </row>
    <row r="145" spans="1:9" x14ac:dyDescent="0.25">
      <c r="A145" s="2">
        <v>1</v>
      </c>
      <c r="C145" s="2">
        <v>0</v>
      </c>
      <c r="E145" s="2">
        <v>1</v>
      </c>
      <c r="G145" s="2">
        <v>2</v>
      </c>
    </row>
    <row r="146" spans="1:9" ht="18.75" x14ac:dyDescent="0.3">
      <c r="A146" s="4" t="s">
        <v>14</v>
      </c>
      <c r="C146" s="4" t="s">
        <v>14</v>
      </c>
      <c r="E146" s="4" t="s">
        <v>14</v>
      </c>
      <c r="G146" s="4" t="s">
        <v>14</v>
      </c>
    </row>
    <row r="147" spans="1:9" x14ac:dyDescent="0.25">
      <c r="A147" s="2" t="s">
        <v>3</v>
      </c>
      <c r="C147" s="2" t="s">
        <v>3</v>
      </c>
      <c r="E147" s="2" t="s">
        <v>3</v>
      </c>
      <c r="G147" s="2" t="s">
        <v>3</v>
      </c>
    </row>
    <row r="148" spans="1:9" x14ac:dyDescent="0.25">
      <c r="A148" s="2">
        <v>7</v>
      </c>
      <c r="C148" s="2">
        <v>8</v>
      </c>
      <c r="E148" s="2">
        <v>2</v>
      </c>
      <c r="G148" s="2">
        <v>5</v>
      </c>
    </row>
    <row r="149" spans="1:9" x14ac:dyDescent="0.25">
      <c r="A149" s="2" t="s">
        <v>6</v>
      </c>
      <c r="C149" s="2" t="s">
        <v>6</v>
      </c>
      <c r="E149" s="2" t="s">
        <v>6</v>
      </c>
      <c r="G149" s="2" t="s">
        <v>6</v>
      </c>
    </row>
    <row r="150" spans="1:9" x14ac:dyDescent="0.25">
      <c r="A150" s="2">
        <v>4</v>
      </c>
      <c r="C150" s="2">
        <v>2</v>
      </c>
      <c r="E150" s="2">
        <v>4</v>
      </c>
      <c r="G150" s="2">
        <v>2</v>
      </c>
    </row>
    <row r="151" spans="1:9" x14ac:dyDescent="0.25">
      <c r="A151" s="2" t="s">
        <v>8</v>
      </c>
      <c r="C151" s="2" t="s">
        <v>8</v>
      </c>
      <c r="E151" s="2" t="s">
        <v>8</v>
      </c>
      <c r="G151" s="2" t="s">
        <v>8</v>
      </c>
    </row>
    <row r="152" spans="1:9" x14ac:dyDescent="0.25">
      <c r="A152" s="2">
        <v>6</v>
      </c>
      <c r="C152" s="2">
        <v>2</v>
      </c>
      <c r="E152" s="2">
        <v>2</v>
      </c>
      <c r="G152" s="2">
        <v>3</v>
      </c>
    </row>
    <row r="154" spans="1:9" x14ac:dyDescent="0.25">
      <c r="A154" s="13">
        <v>45691</v>
      </c>
      <c r="C154" s="13">
        <v>45698</v>
      </c>
      <c r="E154" s="13">
        <v>45705</v>
      </c>
      <c r="F154" s="6"/>
      <c r="G154" s="13">
        <v>45712</v>
      </c>
      <c r="H154" s="6"/>
    </row>
    <row r="155" spans="1:9" ht="18.75" x14ac:dyDescent="0.3">
      <c r="A155" s="3" t="s">
        <v>0</v>
      </c>
      <c r="B155" t="s">
        <v>15</v>
      </c>
      <c r="C155" s="3" t="s">
        <v>0</v>
      </c>
      <c r="D155" t="s">
        <v>15</v>
      </c>
      <c r="E155" s="3" t="s">
        <v>0</v>
      </c>
      <c r="F155" t="s">
        <v>15</v>
      </c>
      <c r="G155" s="3" t="s">
        <v>0</v>
      </c>
      <c r="H155" t="s">
        <v>15</v>
      </c>
      <c r="I155" s="4" t="s">
        <v>21</v>
      </c>
    </row>
    <row r="156" spans="1:9" x14ac:dyDescent="0.25">
      <c r="A156" s="2" t="s">
        <v>3</v>
      </c>
      <c r="B156" t="s">
        <v>5</v>
      </c>
      <c r="C156" s="2" t="s">
        <v>3</v>
      </c>
      <c r="D156" t="s">
        <v>5</v>
      </c>
      <c r="E156" s="2" t="s">
        <v>3</v>
      </c>
      <c r="F156" t="s">
        <v>5</v>
      </c>
      <c r="G156" s="2" t="s">
        <v>3</v>
      </c>
      <c r="H156" t="s">
        <v>5</v>
      </c>
      <c r="I156" s="6" t="s">
        <v>5</v>
      </c>
    </row>
    <row r="157" spans="1:9" x14ac:dyDescent="0.25">
      <c r="A157" s="2">
        <v>2</v>
      </c>
      <c r="B157">
        <f>SUM(A157,A164,A171,A178,A185,A192,A199)</f>
        <v>11</v>
      </c>
      <c r="C157" s="2">
        <v>2</v>
      </c>
      <c r="D157">
        <f>SUM(C157,C164,C171,C178,C185,C192,C199)</f>
        <v>19</v>
      </c>
      <c r="E157" s="2">
        <v>4</v>
      </c>
      <c r="F157">
        <f>SUM(E157,E164,E171,E178,E185,E192,E199)</f>
        <v>17</v>
      </c>
      <c r="G157" s="2">
        <v>1</v>
      </c>
      <c r="H157">
        <f>SUM(G157,G164,G171,G178,G185,G192,G199)</f>
        <v>11</v>
      </c>
      <c r="I157" s="6">
        <f>SUM(H157,F157,D157,B157)</f>
        <v>58</v>
      </c>
    </row>
    <row r="158" spans="1:9" x14ac:dyDescent="0.25">
      <c r="A158" s="2" t="s">
        <v>6</v>
      </c>
      <c r="B158" t="s">
        <v>7</v>
      </c>
      <c r="C158" s="2" t="s">
        <v>6</v>
      </c>
      <c r="D158" t="s">
        <v>7</v>
      </c>
      <c r="E158" s="2" t="s">
        <v>6</v>
      </c>
      <c r="F158" t="s">
        <v>7</v>
      </c>
      <c r="G158" s="2" t="s">
        <v>6</v>
      </c>
      <c r="H158" t="s">
        <v>7</v>
      </c>
      <c r="I158" s="6" t="s">
        <v>7</v>
      </c>
    </row>
    <row r="159" spans="1:9" x14ac:dyDescent="0.25">
      <c r="A159" s="2">
        <v>1</v>
      </c>
      <c r="B159">
        <f>SUM(A159,A166,A173,A180,A187,A194,A201)</f>
        <v>15</v>
      </c>
      <c r="C159" s="2">
        <v>1</v>
      </c>
      <c r="D159">
        <f>SUM(C159,C166,C173,C180,C187,C194,C201)</f>
        <v>6</v>
      </c>
      <c r="E159" s="2">
        <v>1</v>
      </c>
      <c r="F159">
        <f>SUM(E159,E166,E173,E180,E187,E194,E201)</f>
        <v>9</v>
      </c>
      <c r="G159" s="2">
        <v>2</v>
      </c>
      <c r="H159">
        <f>SUM(G159,G166,G173,G180,G187,G194,G201)</f>
        <v>30</v>
      </c>
      <c r="I159" s="6">
        <f>SUM(H159,F159,D159,B159)</f>
        <v>60</v>
      </c>
    </row>
    <row r="160" spans="1:9" x14ac:dyDescent="0.25">
      <c r="A160" s="2" t="s">
        <v>8</v>
      </c>
      <c r="B160" t="s">
        <v>8</v>
      </c>
      <c r="C160" s="2" t="s">
        <v>8</v>
      </c>
      <c r="D160" t="s">
        <v>8</v>
      </c>
      <c r="E160" s="2" t="s">
        <v>8</v>
      </c>
      <c r="F160" t="s">
        <v>8</v>
      </c>
      <c r="G160" s="2" t="s">
        <v>8</v>
      </c>
      <c r="H160" t="s">
        <v>8</v>
      </c>
      <c r="I160" s="6" t="s">
        <v>8</v>
      </c>
    </row>
    <row r="161" spans="1:10" x14ac:dyDescent="0.25">
      <c r="A161" s="2">
        <v>2</v>
      </c>
      <c r="B161">
        <f>SUM(A161,A168,A175,A182,A189,A196,A203)</f>
        <v>19</v>
      </c>
      <c r="C161" s="2">
        <v>1</v>
      </c>
      <c r="D161">
        <f>SUM(C161,C168,C175,C182,C189,C196,C203)</f>
        <v>28</v>
      </c>
      <c r="E161" s="2">
        <v>2</v>
      </c>
      <c r="F161">
        <f>SUM(E161,E168,E175,E182,E189,E196,E203)</f>
        <v>25</v>
      </c>
      <c r="G161" s="2">
        <v>7</v>
      </c>
      <c r="H161">
        <f>SUM(G161,G168,G175,G182,G189,G196,G203)</f>
        <v>41</v>
      </c>
      <c r="I161" s="6">
        <f>SUM(H161,F161,D161,B161)</f>
        <v>113</v>
      </c>
      <c r="J161" s="6">
        <f>SUM(I157,I159)-I161</f>
        <v>5</v>
      </c>
    </row>
    <row r="162" spans="1:10" ht="18.75" x14ac:dyDescent="0.3">
      <c r="A162" s="4" t="s">
        <v>9</v>
      </c>
      <c r="C162" s="4" t="s">
        <v>9</v>
      </c>
      <c r="E162" s="4" t="s">
        <v>9</v>
      </c>
      <c r="G162" s="4" t="s">
        <v>9</v>
      </c>
    </row>
    <row r="163" spans="1:10" x14ac:dyDescent="0.25">
      <c r="A163" s="2" t="s">
        <v>3</v>
      </c>
      <c r="C163" s="2" t="s">
        <v>3</v>
      </c>
      <c r="E163" s="2" t="s">
        <v>3</v>
      </c>
      <c r="G163" s="2" t="s">
        <v>3</v>
      </c>
    </row>
    <row r="164" spans="1:10" x14ac:dyDescent="0.25">
      <c r="A164" s="2">
        <v>2</v>
      </c>
      <c r="C164" s="2">
        <v>2</v>
      </c>
      <c r="E164" s="2">
        <v>0</v>
      </c>
      <c r="G164" s="2">
        <v>2</v>
      </c>
    </row>
    <row r="165" spans="1:10" x14ac:dyDescent="0.25">
      <c r="A165" s="2" t="s">
        <v>6</v>
      </c>
      <c r="C165" s="2" t="s">
        <v>6</v>
      </c>
      <c r="E165" s="2" t="s">
        <v>6</v>
      </c>
      <c r="G165" s="2" t="s">
        <v>6</v>
      </c>
    </row>
    <row r="166" spans="1:10" x14ac:dyDescent="0.25">
      <c r="A166" s="2">
        <v>2</v>
      </c>
      <c r="C166" s="2">
        <v>0</v>
      </c>
      <c r="E166" s="2">
        <v>2</v>
      </c>
      <c r="G166" s="2">
        <v>4</v>
      </c>
    </row>
    <row r="167" spans="1:10" x14ac:dyDescent="0.25">
      <c r="A167" s="2" t="s">
        <v>8</v>
      </c>
      <c r="C167" s="2" t="s">
        <v>8</v>
      </c>
      <c r="E167" s="2" t="s">
        <v>8</v>
      </c>
      <c r="G167" s="2" t="s">
        <v>8</v>
      </c>
    </row>
    <row r="168" spans="1:10" x14ac:dyDescent="0.25">
      <c r="A168" s="2">
        <v>2</v>
      </c>
      <c r="C168" s="2">
        <v>5</v>
      </c>
      <c r="E168" s="2">
        <v>4</v>
      </c>
      <c r="G168" s="2">
        <v>8</v>
      </c>
    </row>
    <row r="169" spans="1:10" ht="18.75" x14ac:dyDescent="0.3">
      <c r="A169" s="4" t="s">
        <v>10</v>
      </c>
      <c r="C169" s="4" t="s">
        <v>10</v>
      </c>
      <c r="E169" s="4" t="s">
        <v>10</v>
      </c>
      <c r="G169" s="4" t="s">
        <v>10</v>
      </c>
    </row>
    <row r="170" spans="1:10" x14ac:dyDescent="0.25">
      <c r="A170" s="2" t="s">
        <v>3</v>
      </c>
      <c r="C170" s="2" t="s">
        <v>3</v>
      </c>
      <c r="E170" s="2" t="s">
        <v>3</v>
      </c>
      <c r="G170" s="2" t="s">
        <v>3</v>
      </c>
    </row>
    <row r="171" spans="1:10" x14ac:dyDescent="0.25">
      <c r="A171" s="2">
        <v>1</v>
      </c>
      <c r="C171" s="2">
        <v>4</v>
      </c>
      <c r="E171" s="2">
        <v>1</v>
      </c>
      <c r="G171" s="2">
        <v>0</v>
      </c>
    </row>
    <row r="172" spans="1:10" x14ac:dyDescent="0.25">
      <c r="A172" s="2" t="s">
        <v>6</v>
      </c>
      <c r="C172" s="2" t="s">
        <v>6</v>
      </c>
      <c r="E172" s="2" t="s">
        <v>6</v>
      </c>
      <c r="G172" s="2" t="s">
        <v>6</v>
      </c>
    </row>
    <row r="173" spans="1:10" x14ac:dyDescent="0.25">
      <c r="A173" s="2">
        <v>3</v>
      </c>
      <c r="C173" s="2">
        <v>0</v>
      </c>
      <c r="E173" s="2">
        <v>0</v>
      </c>
      <c r="G173" s="2">
        <v>4</v>
      </c>
    </row>
    <row r="174" spans="1:10" x14ac:dyDescent="0.25">
      <c r="A174" s="2" t="s">
        <v>8</v>
      </c>
      <c r="C174" s="2" t="s">
        <v>8</v>
      </c>
      <c r="E174" s="2" t="s">
        <v>8</v>
      </c>
      <c r="G174" s="2" t="s">
        <v>8</v>
      </c>
    </row>
    <row r="175" spans="1:10" x14ac:dyDescent="0.25">
      <c r="A175" s="2">
        <v>3</v>
      </c>
      <c r="C175" s="2">
        <v>2</v>
      </c>
      <c r="E175" s="2">
        <v>6</v>
      </c>
      <c r="G175" s="2">
        <v>1</v>
      </c>
    </row>
    <row r="176" spans="1:10" ht="18.75" x14ac:dyDescent="0.3">
      <c r="A176" s="4" t="s">
        <v>11</v>
      </c>
      <c r="C176" s="4" t="s">
        <v>11</v>
      </c>
      <c r="E176" s="4" t="s">
        <v>11</v>
      </c>
      <c r="G176" s="4" t="s">
        <v>11</v>
      </c>
    </row>
    <row r="177" spans="1:7" x14ac:dyDescent="0.25">
      <c r="A177" s="2" t="s">
        <v>3</v>
      </c>
      <c r="C177" s="2" t="s">
        <v>3</v>
      </c>
      <c r="E177" s="2" t="s">
        <v>3</v>
      </c>
      <c r="G177" s="2" t="s">
        <v>3</v>
      </c>
    </row>
    <row r="178" spans="1:7" x14ac:dyDescent="0.25">
      <c r="A178" s="2">
        <v>1</v>
      </c>
      <c r="C178" s="2">
        <v>2</v>
      </c>
      <c r="E178" s="2">
        <v>10</v>
      </c>
      <c r="G178" s="2">
        <v>2</v>
      </c>
    </row>
    <row r="179" spans="1:7" x14ac:dyDescent="0.25">
      <c r="A179" s="2" t="s">
        <v>6</v>
      </c>
      <c r="C179" s="2" t="s">
        <v>6</v>
      </c>
      <c r="E179" s="2" t="s">
        <v>6</v>
      </c>
      <c r="G179" s="2" t="s">
        <v>6</v>
      </c>
    </row>
    <row r="180" spans="1:7" x14ac:dyDescent="0.25">
      <c r="A180" s="2">
        <v>3</v>
      </c>
      <c r="C180" s="2">
        <v>5</v>
      </c>
      <c r="E180" s="2">
        <v>1</v>
      </c>
      <c r="G180" s="2">
        <v>6</v>
      </c>
    </row>
    <row r="181" spans="1:7" x14ac:dyDescent="0.25">
      <c r="A181" s="2" t="s">
        <v>8</v>
      </c>
      <c r="C181" s="2" t="s">
        <v>8</v>
      </c>
      <c r="E181" s="2" t="s">
        <v>8</v>
      </c>
      <c r="G181" s="2" t="s">
        <v>8</v>
      </c>
    </row>
    <row r="182" spans="1:7" x14ac:dyDescent="0.25">
      <c r="A182" s="2">
        <v>2</v>
      </c>
      <c r="C182" s="2">
        <v>10</v>
      </c>
      <c r="E182" s="2">
        <v>5</v>
      </c>
      <c r="G182" s="2">
        <v>11</v>
      </c>
    </row>
    <row r="183" spans="1:7" ht="18.75" x14ac:dyDescent="0.3">
      <c r="A183" s="4" t="s">
        <v>12</v>
      </c>
      <c r="C183" s="4" t="s">
        <v>12</v>
      </c>
      <c r="E183" s="4" t="s">
        <v>12</v>
      </c>
      <c r="G183" s="4" t="s">
        <v>12</v>
      </c>
    </row>
    <row r="184" spans="1:7" x14ac:dyDescent="0.25">
      <c r="A184" s="2" t="s">
        <v>3</v>
      </c>
      <c r="C184" s="2" t="s">
        <v>3</v>
      </c>
      <c r="E184" s="2" t="s">
        <v>3</v>
      </c>
      <c r="G184" s="2" t="s">
        <v>3</v>
      </c>
    </row>
    <row r="185" spans="1:7" x14ac:dyDescent="0.25">
      <c r="A185" s="2">
        <v>3</v>
      </c>
      <c r="C185" s="2">
        <v>1</v>
      </c>
      <c r="E185" s="2">
        <v>1</v>
      </c>
      <c r="G185" s="2">
        <v>2</v>
      </c>
    </row>
    <row r="186" spans="1:7" x14ac:dyDescent="0.25">
      <c r="A186" s="2" t="s">
        <v>6</v>
      </c>
      <c r="C186" s="2" t="s">
        <v>6</v>
      </c>
      <c r="E186" s="2" t="s">
        <v>6</v>
      </c>
      <c r="G186" s="2" t="s">
        <v>6</v>
      </c>
    </row>
    <row r="187" spans="1:7" x14ac:dyDescent="0.25">
      <c r="A187" s="2">
        <v>1</v>
      </c>
      <c r="C187" s="2">
        <v>0</v>
      </c>
      <c r="E187" s="2">
        <v>2</v>
      </c>
      <c r="G187" s="2">
        <v>3</v>
      </c>
    </row>
    <row r="188" spans="1:7" x14ac:dyDescent="0.25">
      <c r="A188" s="2" t="s">
        <v>8</v>
      </c>
      <c r="C188" s="2" t="s">
        <v>8</v>
      </c>
      <c r="E188" s="2" t="s">
        <v>8</v>
      </c>
      <c r="G188" s="2" t="s">
        <v>8</v>
      </c>
    </row>
    <row r="189" spans="1:7" x14ac:dyDescent="0.25">
      <c r="A189" s="2">
        <v>5</v>
      </c>
      <c r="C189" s="2">
        <v>2</v>
      </c>
      <c r="E189" s="2">
        <v>2</v>
      </c>
      <c r="G189" s="2">
        <v>3</v>
      </c>
    </row>
    <row r="190" spans="1:7" ht="18.75" x14ac:dyDescent="0.3">
      <c r="A190" s="4" t="s">
        <v>22</v>
      </c>
      <c r="C190" s="4" t="s">
        <v>22</v>
      </c>
      <c r="E190" s="4" t="s">
        <v>22</v>
      </c>
      <c r="G190" s="4" t="s">
        <v>22</v>
      </c>
    </row>
    <row r="191" spans="1:7" x14ac:dyDescent="0.25">
      <c r="A191" s="2" t="s">
        <v>3</v>
      </c>
      <c r="C191" s="2" t="s">
        <v>3</v>
      </c>
      <c r="E191" s="2" t="s">
        <v>3</v>
      </c>
      <c r="G191" s="2" t="s">
        <v>3</v>
      </c>
    </row>
    <row r="192" spans="1:7" x14ac:dyDescent="0.25">
      <c r="A192" s="2">
        <v>0</v>
      </c>
      <c r="C192" s="2">
        <v>3</v>
      </c>
      <c r="E192" s="2">
        <v>1</v>
      </c>
      <c r="G192" s="2">
        <v>2</v>
      </c>
    </row>
    <row r="193" spans="1:15" x14ac:dyDescent="0.25">
      <c r="A193" s="2" t="s">
        <v>6</v>
      </c>
      <c r="C193" s="2" t="s">
        <v>6</v>
      </c>
      <c r="E193" s="2" t="s">
        <v>6</v>
      </c>
      <c r="G193" s="2" t="s">
        <v>6</v>
      </c>
    </row>
    <row r="194" spans="1:15" x14ac:dyDescent="0.25">
      <c r="A194" s="2">
        <v>2</v>
      </c>
      <c r="C194" s="2">
        <v>0</v>
      </c>
      <c r="E194" s="2">
        <v>2</v>
      </c>
      <c r="G194" s="2">
        <v>2</v>
      </c>
    </row>
    <row r="195" spans="1:15" x14ac:dyDescent="0.25">
      <c r="A195" s="2" t="s">
        <v>8</v>
      </c>
      <c r="C195" s="2" t="s">
        <v>8</v>
      </c>
      <c r="E195" s="2" t="s">
        <v>8</v>
      </c>
      <c r="G195" s="2" t="s">
        <v>8</v>
      </c>
    </row>
    <row r="196" spans="1:15" x14ac:dyDescent="0.25">
      <c r="A196" s="2">
        <v>0</v>
      </c>
      <c r="C196" s="2">
        <v>4</v>
      </c>
      <c r="E196" s="2">
        <v>2</v>
      </c>
      <c r="G196" s="2">
        <v>3</v>
      </c>
    </row>
    <row r="197" spans="1:15" ht="18.75" x14ac:dyDescent="0.3">
      <c r="A197" s="4" t="s">
        <v>14</v>
      </c>
      <c r="C197" s="4" t="s">
        <v>14</v>
      </c>
      <c r="E197" s="4" t="s">
        <v>14</v>
      </c>
      <c r="G197" s="4" t="s">
        <v>14</v>
      </c>
    </row>
    <row r="198" spans="1:15" x14ac:dyDescent="0.25">
      <c r="A198" s="2" t="s">
        <v>3</v>
      </c>
      <c r="C198" s="2" t="s">
        <v>3</v>
      </c>
      <c r="E198" s="2" t="s">
        <v>3</v>
      </c>
      <c r="G198" s="2" t="s">
        <v>3</v>
      </c>
    </row>
    <row r="199" spans="1:15" x14ac:dyDescent="0.25">
      <c r="A199" s="2">
        <v>2</v>
      </c>
      <c r="C199" s="2">
        <v>5</v>
      </c>
      <c r="E199" s="2">
        <v>0</v>
      </c>
      <c r="G199" s="2">
        <v>2</v>
      </c>
    </row>
    <row r="200" spans="1:15" x14ac:dyDescent="0.25">
      <c r="A200" s="2" t="s">
        <v>6</v>
      </c>
      <c r="C200" s="2" t="s">
        <v>6</v>
      </c>
      <c r="E200" s="2" t="s">
        <v>6</v>
      </c>
      <c r="G200" s="2" t="s">
        <v>6</v>
      </c>
    </row>
    <row r="201" spans="1:15" x14ac:dyDescent="0.25">
      <c r="A201" s="2">
        <v>3</v>
      </c>
      <c r="C201" s="2">
        <v>0</v>
      </c>
      <c r="E201" s="2">
        <v>1</v>
      </c>
      <c r="G201" s="2">
        <v>9</v>
      </c>
    </row>
    <row r="202" spans="1:15" x14ac:dyDescent="0.25">
      <c r="A202" s="2" t="s">
        <v>8</v>
      </c>
      <c r="C202" s="2" t="s">
        <v>8</v>
      </c>
      <c r="E202" s="2" t="s">
        <v>8</v>
      </c>
      <c r="G202" s="2" t="s">
        <v>8</v>
      </c>
    </row>
    <row r="203" spans="1:15" x14ac:dyDescent="0.25">
      <c r="A203" s="2">
        <v>5</v>
      </c>
      <c r="C203" s="2">
        <v>4</v>
      </c>
      <c r="E203" s="2">
        <v>4</v>
      </c>
      <c r="G203" s="2">
        <v>8</v>
      </c>
    </row>
    <row r="205" spans="1:15" x14ac:dyDescent="0.25">
      <c r="A205" s="13">
        <v>45719</v>
      </c>
      <c r="C205" s="13">
        <v>45719</v>
      </c>
      <c r="E205" s="13">
        <v>45726</v>
      </c>
      <c r="F205" s="6"/>
      <c r="G205" s="13">
        <v>45733</v>
      </c>
      <c r="H205" s="6"/>
      <c r="I205" s="13">
        <v>45740</v>
      </c>
      <c r="J205" s="6"/>
      <c r="K205" s="13">
        <v>45747</v>
      </c>
      <c r="L205" s="6"/>
    </row>
    <row r="206" spans="1:15" ht="18.75" x14ac:dyDescent="0.3">
      <c r="A206" s="3" t="s">
        <v>0</v>
      </c>
      <c r="B206" t="s">
        <v>15</v>
      </c>
      <c r="C206" s="3" t="s">
        <v>0</v>
      </c>
      <c r="D206" t="s">
        <v>15</v>
      </c>
      <c r="E206" s="3" t="s">
        <v>0</v>
      </c>
      <c r="F206" t="s">
        <v>15</v>
      </c>
      <c r="G206" s="3" t="s">
        <v>0</v>
      </c>
      <c r="H206" t="s">
        <v>15</v>
      </c>
      <c r="I206" s="3" t="s">
        <v>0</v>
      </c>
      <c r="J206" t="s">
        <v>15</v>
      </c>
      <c r="K206" s="3" t="s">
        <v>0</v>
      </c>
      <c r="L206" t="s">
        <v>15</v>
      </c>
      <c r="M206" s="3" t="s">
        <v>23</v>
      </c>
    </row>
    <row r="207" spans="1:15" x14ac:dyDescent="0.25">
      <c r="A207" s="2" t="s">
        <v>3</v>
      </c>
      <c r="B207" t="s">
        <v>5</v>
      </c>
      <c r="C207" s="2" t="s">
        <v>3</v>
      </c>
      <c r="D207" t="s">
        <v>5</v>
      </c>
      <c r="E207" s="2" t="s">
        <v>3</v>
      </c>
      <c r="F207" t="s">
        <v>5</v>
      </c>
      <c r="G207" s="2" t="s">
        <v>3</v>
      </c>
      <c r="H207" t="s">
        <v>5</v>
      </c>
      <c r="I207" s="2" t="s">
        <v>3</v>
      </c>
      <c r="J207" t="s">
        <v>5</v>
      </c>
      <c r="K207" s="2" t="s">
        <v>3</v>
      </c>
      <c r="L207" t="s">
        <v>5</v>
      </c>
      <c r="M207" t="s">
        <v>5</v>
      </c>
    </row>
    <row r="208" spans="1:15" x14ac:dyDescent="0.25">
      <c r="A208" s="2"/>
      <c r="B208">
        <f>SUM(A208,A215,A222,A229,A236,A243,A250)</f>
        <v>0</v>
      </c>
      <c r="C208" s="2">
        <v>2</v>
      </c>
      <c r="D208">
        <f>SUM(C208,C215,C222,C229,C236,C243,C250)</f>
        <v>24</v>
      </c>
      <c r="E208" s="2">
        <v>0</v>
      </c>
      <c r="F208">
        <f>SUM(E208,E215,E222,E229,E236,E243,E250)</f>
        <v>24</v>
      </c>
      <c r="G208" s="2"/>
      <c r="H208">
        <f>SUM(G208,G215,G222,G229,G236,G243,G250)</f>
        <v>0</v>
      </c>
      <c r="I208" s="2"/>
      <c r="J208">
        <f>SUM(I208,I215,I222,I229,I236,I243,I250)</f>
        <v>0</v>
      </c>
      <c r="K208" s="2"/>
      <c r="L208">
        <f>SUM(G208,G215,G222,G229,G236,G243,G250)</f>
        <v>0</v>
      </c>
      <c r="M208">
        <f>SUM(L208,F208,D208,B208)</f>
        <v>48</v>
      </c>
      <c r="O208" s="6" t="s">
        <v>580</v>
      </c>
    </row>
    <row r="209" spans="1:13" x14ac:dyDescent="0.25">
      <c r="A209" s="2" t="s">
        <v>6</v>
      </c>
      <c r="B209" t="s">
        <v>7</v>
      </c>
      <c r="C209" s="2" t="s">
        <v>6</v>
      </c>
      <c r="D209" t="s">
        <v>7</v>
      </c>
      <c r="E209" s="2" t="s">
        <v>6</v>
      </c>
      <c r="F209" t="s">
        <v>7</v>
      </c>
      <c r="G209" s="2" t="s">
        <v>6</v>
      </c>
      <c r="H209" t="s">
        <v>7</v>
      </c>
      <c r="I209" s="2" t="s">
        <v>6</v>
      </c>
      <c r="J209" t="s">
        <v>7</v>
      </c>
      <c r="K209" s="2" t="s">
        <v>6</v>
      </c>
      <c r="L209" t="s">
        <v>7</v>
      </c>
      <c r="M209" t="s">
        <v>7</v>
      </c>
    </row>
    <row r="210" spans="1:13" x14ac:dyDescent="0.25">
      <c r="A210" s="2"/>
      <c r="B210">
        <f>SUM(A210,A217,A224,A231,A238,A245,A252)</f>
        <v>0</v>
      </c>
      <c r="C210" s="2">
        <v>0</v>
      </c>
      <c r="D210">
        <f>SUM(C210,C217,C224,C231,C238,C245,C252)</f>
        <v>16</v>
      </c>
      <c r="E210" s="2">
        <v>2</v>
      </c>
      <c r="F210">
        <f>SUM(E210,E217,E224,E231,E238,E245,E252)</f>
        <v>23</v>
      </c>
      <c r="G210" s="2"/>
      <c r="H210">
        <f>SUM(G210,G217,G224,G231,G238,G245,G252)</f>
        <v>0</v>
      </c>
      <c r="I210" s="2"/>
      <c r="J210">
        <f>SUM(I210,I217,I224,I231,I238,I245,I252)</f>
        <v>0</v>
      </c>
      <c r="K210" s="2"/>
      <c r="L210">
        <f>SUM(G210,G217,G224,G231,G238,G245,G252)</f>
        <v>0</v>
      </c>
      <c r="M210">
        <f>SUM(L210,F210,D210,B210)</f>
        <v>39</v>
      </c>
    </row>
    <row r="211" spans="1:13" x14ac:dyDescent="0.25">
      <c r="A211" s="2" t="s">
        <v>8</v>
      </c>
      <c r="B211" t="s">
        <v>8</v>
      </c>
      <c r="C211" s="2" t="s">
        <v>8</v>
      </c>
      <c r="D211" t="s">
        <v>8</v>
      </c>
      <c r="E211" s="2" t="s">
        <v>8</v>
      </c>
      <c r="F211" t="s">
        <v>8</v>
      </c>
      <c r="G211" s="2" t="s">
        <v>8</v>
      </c>
      <c r="H211" t="s">
        <v>8</v>
      </c>
      <c r="I211" s="2" t="s">
        <v>8</v>
      </c>
      <c r="J211" t="s">
        <v>8</v>
      </c>
      <c r="K211" s="2" t="s">
        <v>8</v>
      </c>
      <c r="L211" t="s">
        <v>8</v>
      </c>
      <c r="M211" t="s">
        <v>8</v>
      </c>
    </row>
    <row r="212" spans="1:13" x14ac:dyDescent="0.25">
      <c r="A212" s="2"/>
      <c r="B212">
        <f>SUM(A212,A219,A226,A233,A240,A247,A254)</f>
        <v>0</v>
      </c>
      <c r="C212" s="2">
        <v>2</v>
      </c>
      <c r="D212">
        <f>SUM(C212,C219,C226,C233,C240,C247,C254)</f>
        <v>17</v>
      </c>
      <c r="E212" s="2">
        <v>3</v>
      </c>
      <c r="F212">
        <f>SUM(E212,E219,E226,E233,E240,E247,E254)</f>
        <v>33</v>
      </c>
      <c r="G212" s="2"/>
      <c r="H212">
        <f>SUM(G212,G219,G226,G233,G240,G247,G254)</f>
        <v>0</v>
      </c>
      <c r="I212" s="2"/>
      <c r="J212">
        <f>SUM(I212,I219,I226,I233,I240,I247,I254)</f>
        <v>0</v>
      </c>
      <c r="K212" s="2"/>
      <c r="L212">
        <f>SUM(G212,G219,G226,G233,G240,G247,G254)</f>
        <v>0</v>
      </c>
      <c r="M212">
        <f>SUM(L212,F212,D212,B212)</f>
        <v>50</v>
      </c>
    </row>
    <row r="213" spans="1:13" ht="18.75" x14ac:dyDescent="0.3">
      <c r="A213" s="4" t="s">
        <v>9</v>
      </c>
      <c r="C213" s="4" t="s">
        <v>9</v>
      </c>
      <c r="E213" s="4" t="s">
        <v>9</v>
      </c>
      <c r="G213" s="4" t="s">
        <v>9</v>
      </c>
      <c r="I213" s="4" t="s">
        <v>9</v>
      </c>
      <c r="J213" s="4"/>
      <c r="K213" s="4" t="s">
        <v>9</v>
      </c>
    </row>
    <row r="214" spans="1:13" x14ac:dyDescent="0.25">
      <c r="A214" s="2" t="s">
        <v>3</v>
      </c>
      <c r="C214" s="2" t="s">
        <v>3</v>
      </c>
      <c r="E214" s="2" t="s">
        <v>3</v>
      </c>
      <c r="G214" s="2" t="s">
        <v>3</v>
      </c>
      <c r="I214" s="2" t="s">
        <v>3</v>
      </c>
      <c r="K214" s="2" t="s">
        <v>3</v>
      </c>
    </row>
    <row r="215" spans="1:13" x14ac:dyDescent="0.25">
      <c r="A215" s="2"/>
      <c r="C215" s="2">
        <v>4</v>
      </c>
      <c r="E215" s="2">
        <v>5</v>
      </c>
      <c r="G215" s="2"/>
      <c r="I215" s="2"/>
      <c r="K215" s="2"/>
    </row>
    <row r="216" spans="1:13" x14ac:dyDescent="0.25">
      <c r="A216" s="2" t="s">
        <v>6</v>
      </c>
      <c r="C216" s="2" t="s">
        <v>6</v>
      </c>
      <c r="E216" s="2" t="s">
        <v>6</v>
      </c>
      <c r="G216" s="2" t="s">
        <v>6</v>
      </c>
      <c r="I216" s="2" t="s">
        <v>6</v>
      </c>
      <c r="K216" s="2" t="s">
        <v>6</v>
      </c>
    </row>
    <row r="217" spans="1:13" x14ac:dyDescent="0.25">
      <c r="A217" s="2"/>
      <c r="C217" s="2">
        <v>3</v>
      </c>
      <c r="E217" s="2">
        <v>2</v>
      </c>
      <c r="G217" s="2"/>
      <c r="I217" s="2"/>
      <c r="K217" s="2"/>
    </row>
    <row r="218" spans="1:13" x14ac:dyDescent="0.25">
      <c r="A218" s="2" t="s">
        <v>8</v>
      </c>
      <c r="C218" s="2" t="s">
        <v>8</v>
      </c>
      <c r="E218" s="2" t="s">
        <v>8</v>
      </c>
      <c r="G218" s="2" t="s">
        <v>8</v>
      </c>
      <c r="I218" s="2" t="s">
        <v>8</v>
      </c>
      <c r="K218" s="2" t="s">
        <v>8</v>
      </c>
    </row>
    <row r="219" spans="1:13" x14ac:dyDescent="0.25">
      <c r="A219" s="2"/>
      <c r="C219" s="2">
        <v>2</v>
      </c>
      <c r="E219" s="2">
        <v>5</v>
      </c>
      <c r="G219" s="2"/>
      <c r="I219" s="2"/>
      <c r="K219" s="2"/>
    </row>
    <row r="220" spans="1:13" ht="18.75" x14ac:dyDescent="0.3">
      <c r="A220" s="4" t="s">
        <v>10</v>
      </c>
      <c r="C220" s="4" t="s">
        <v>10</v>
      </c>
      <c r="E220" s="4" t="s">
        <v>10</v>
      </c>
      <c r="G220" s="4" t="s">
        <v>10</v>
      </c>
      <c r="I220" s="4" t="s">
        <v>10</v>
      </c>
      <c r="J220" s="4"/>
      <c r="K220" s="4" t="s">
        <v>10</v>
      </c>
    </row>
    <row r="221" spans="1:13" x14ac:dyDescent="0.25">
      <c r="A221" s="2" t="s">
        <v>3</v>
      </c>
      <c r="C221" s="2" t="s">
        <v>3</v>
      </c>
      <c r="E221" s="2" t="s">
        <v>3</v>
      </c>
      <c r="G221" s="2" t="s">
        <v>3</v>
      </c>
      <c r="I221" s="2" t="s">
        <v>3</v>
      </c>
      <c r="K221" s="2" t="s">
        <v>3</v>
      </c>
    </row>
    <row r="222" spans="1:13" x14ac:dyDescent="0.25">
      <c r="A222" s="2"/>
      <c r="C222" s="2">
        <v>0</v>
      </c>
      <c r="E222" s="2">
        <v>4</v>
      </c>
      <c r="G222" s="2"/>
      <c r="I222" s="2"/>
      <c r="K222" s="2"/>
    </row>
    <row r="223" spans="1:13" x14ac:dyDescent="0.25">
      <c r="A223" s="2" t="s">
        <v>6</v>
      </c>
      <c r="C223" s="2" t="s">
        <v>6</v>
      </c>
      <c r="E223" s="2" t="s">
        <v>6</v>
      </c>
      <c r="G223" s="2" t="s">
        <v>6</v>
      </c>
      <c r="I223" s="2" t="s">
        <v>6</v>
      </c>
      <c r="K223" s="2" t="s">
        <v>6</v>
      </c>
    </row>
    <row r="224" spans="1:13" x14ac:dyDescent="0.25">
      <c r="A224" s="2"/>
      <c r="C224" s="2">
        <v>3</v>
      </c>
      <c r="E224" s="2">
        <v>4</v>
      </c>
      <c r="G224" s="2"/>
      <c r="I224" s="2"/>
      <c r="K224" s="2"/>
    </row>
    <row r="225" spans="1:11" x14ac:dyDescent="0.25">
      <c r="A225" s="2" t="s">
        <v>8</v>
      </c>
      <c r="C225" s="2" t="s">
        <v>8</v>
      </c>
      <c r="E225" s="2" t="s">
        <v>8</v>
      </c>
      <c r="G225" s="2" t="s">
        <v>8</v>
      </c>
      <c r="I225" s="2" t="s">
        <v>8</v>
      </c>
      <c r="K225" s="2" t="s">
        <v>8</v>
      </c>
    </row>
    <row r="226" spans="1:11" x14ac:dyDescent="0.25">
      <c r="A226" s="2"/>
      <c r="C226" s="2">
        <v>1</v>
      </c>
      <c r="E226" s="2">
        <v>2</v>
      </c>
      <c r="G226" s="2"/>
      <c r="I226" s="2"/>
      <c r="K226" s="2"/>
    </row>
    <row r="227" spans="1:11" ht="18.75" x14ac:dyDescent="0.3">
      <c r="A227" s="4" t="s">
        <v>11</v>
      </c>
      <c r="C227" s="4" t="s">
        <v>11</v>
      </c>
      <c r="E227" s="4" t="s">
        <v>11</v>
      </c>
      <c r="G227" s="4" t="s">
        <v>11</v>
      </c>
      <c r="I227" s="4" t="s">
        <v>11</v>
      </c>
      <c r="J227" s="4"/>
      <c r="K227" s="4" t="s">
        <v>11</v>
      </c>
    </row>
    <row r="228" spans="1:11" x14ac:dyDescent="0.25">
      <c r="A228" s="2" t="s">
        <v>3</v>
      </c>
      <c r="C228" s="2" t="s">
        <v>3</v>
      </c>
      <c r="E228" s="2" t="s">
        <v>3</v>
      </c>
      <c r="G228" s="2" t="s">
        <v>3</v>
      </c>
      <c r="I228" s="2" t="s">
        <v>3</v>
      </c>
      <c r="K228" s="2" t="s">
        <v>3</v>
      </c>
    </row>
    <row r="229" spans="1:11" x14ac:dyDescent="0.25">
      <c r="A229" s="2"/>
      <c r="C229" s="2">
        <v>5</v>
      </c>
      <c r="E229" s="2">
        <v>5</v>
      </c>
      <c r="G229" s="2"/>
      <c r="I229" s="2"/>
      <c r="K229" s="2"/>
    </row>
    <row r="230" spans="1:11" x14ac:dyDescent="0.25">
      <c r="A230" s="2" t="s">
        <v>6</v>
      </c>
      <c r="C230" s="2" t="s">
        <v>6</v>
      </c>
      <c r="E230" s="2" t="s">
        <v>6</v>
      </c>
      <c r="G230" s="2" t="s">
        <v>6</v>
      </c>
      <c r="I230" s="2" t="s">
        <v>6</v>
      </c>
      <c r="K230" s="2" t="s">
        <v>6</v>
      </c>
    </row>
    <row r="231" spans="1:11" x14ac:dyDescent="0.25">
      <c r="A231" s="2"/>
      <c r="C231" s="2">
        <v>2</v>
      </c>
      <c r="E231" s="2">
        <v>7</v>
      </c>
      <c r="G231" s="2"/>
      <c r="I231" s="2"/>
      <c r="K231" s="2"/>
    </row>
    <row r="232" spans="1:11" x14ac:dyDescent="0.25">
      <c r="A232" s="2" t="s">
        <v>8</v>
      </c>
      <c r="C232" s="2" t="s">
        <v>8</v>
      </c>
      <c r="E232" s="2" t="s">
        <v>8</v>
      </c>
      <c r="G232" s="2" t="s">
        <v>8</v>
      </c>
      <c r="I232" s="2" t="s">
        <v>8</v>
      </c>
      <c r="K232" s="2" t="s">
        <v>8</v>
      </c>
    </row>
    <row r="233" spans="1:11" x14ac:dyDescent="0.25">
      <c r="A233" s="2"/>
      <c r="C233" s="2">
        <v>3</v>
      </c>
      <c r="E233" s="2">
        <v>7</v>
      </c>
      <c r="G233" s="2"/>
      <c r="I233" s="2"/>
      <c r="K233" s="2"/>
    </row>
    <row r="234" spans="1:11" ht="18.75" x14ac:dyDescent="0.3">
      <c r="A234" s="4" t="s">
        <v>12</v>
      </c>
      <c r="C234" s="4" t="s">
        <v>12</v>
      </c>
      <c r="E234" s="4" t="s">
        <v>12</v>
      </c>
      <c r="G234" s="4" t="s">
        <v>12</v>
      </c>
      <c r="I234" s="4" t="s">
        <v>12</v>
      </c>
      <c r="J234" s="4"/>
      <c r="K234" s="4" t="s">
        <v>12</v>
      </c>
    </row>
    <row r="235" spans="1:11" x14ac:dyDescent="0.25">
      <c r="A235" s="2" t="s">
        <v>3</v>
      </c>
      <c r="C235" s="2" t="s">
        <v>3</v>
      </c>
      <c r="E235" s="2" t="s">
        <v>3</v>
      </c>
      <c r="G235" s="2" t="s">
        <v>3</v>
      </c>
      <c r="I235" s="2" t="s">
        <v>3</v>
      </c>
      <c r="K235" s="2" t="s">
        <v>3</v>
      </c>
    </row>
    <row r="236" spans="1:11" x14ac:dyDescent="0.25">
      <c r="A236" s="2"/>
      <c r="C236" s="2">
        <v>4</v>
      </c>
      <c r="E236" s="2">
        <v>4</v>
      </c>
      <c r="G236" s="2"/>
      <c r="I236" s="2"/>
      <c r="K236" s="2"/>
    </row>
    <row r="237" spans="1:11" x14ac:dyDescent="0.25">
      <c r="A237" s="2" t="s">
        <v>6</v>
      </c>
      <c r="C237" s="2" t="s">
        <v>6</v>
      </c>
      <c r="E237" s="2" t="s">
        <v>6</v>
      </c>
      <c r="G237" s="2" t="s">
        <v>6</v>
      </c>
      <c r="I237" s="2" t="s">
        <v>6</v>
      </c>
      <c r="K237" s="2" t="s">
        <v>6</v>
      </c>
    </row>
    <row r="238" spans="1:11" x14ac:dyDescent="0.25">
      <c r="A238" s="2"/>
      <c r="C238" s="2">
        <v>4</v>
      </c>
      <c r="E238" s="2">
        <v>4</v>
      </c>
      <c r="G238" s="2"/>
      <c r="I238" s="2"/>
      <c r="K238" s="2"/>
    </row>
    <row r="239" spans="1:11" x14ac:dyDescent="0.25">
      <c r="A239" s="2" t="s">
        <v>8</v>
      </c>
      <c r="C239" s="2" t="s">
        <v>8</v>
      </c>
      <c r="E239" s="2" t="s">
        <v>8</v>
      </c>
      <c r="G239" s="2" t="s">
        <v>8</v>
      </c>
      <c r="I239" s="2" t="s">
        <v>8</v>
      </c>
      <c r="K239" s="2" t="s">
        <v>8</v>
      </c>
    </row>
    <row r="240" spans="1:11" x14ac:dyDescent="0.25">
      <c r="A240" s="2"/>
      <c r="C240" s="2">
        <v>4</v>
      </c>
      <c r="E240" s="2">
        <v>4</v>
      </c>
      <c r="G240" s="2"/>
      <c r="I240" s="2"/>
      <c r="K240" s="2"/>
    </row>
    <row r="241" spans="1:11" ht="18.75" x14ac:dyDescent="0.3">
      <c r="A241" s="4" t="s">
        <v>22</v>
      </c>
      <c r="C241" s="4" t="s">
        <v>22</v>
      </c>
      <c r="E241" s="4" t="s">
        <v>22</v>
      </c>
      <c r="G241" s="4" t="s">
        <v>22</v>
      </c>
      <c r="I241" s="4" t="s">
        <v>22</v>
      </c>
      <c r="J241" s="4"/>
      <c r="K241" s="4" t="s">
        <v>22</v>
      </c>
    </row>
    <row r="242" spans="1:11" x14ac:dyDescent="0.25">
      <c r="A242" s="2" t="s">
        <v>3</v>
      </c>
      <c r="C242" s="2" t="s">
        <v>3</v>
      </c>
      <c r="E242" s="2" t="s">
        <v>3</v>
      </c>
      <c r="G242" s="2" t="s">
        <v>3</v>
      </c>
      <c r="I242" s="2" t="s">
        <v>3</v>
      </c>
      <c r="K242" s="2" t="s">
        <v>3</v>
      </c>
    </row>
    <row r="243" spans="1:11" x14ac:dyDescent="0.25">
      <c r="A243" s="2"/>
      <c r="C243" s="2">
        <v>1</v>
      </c>
      <c r="E243" s="2">
        <v>2</v>
      </c>
      <c r="G243" s="2"/>
      <c r="I243" s="2"/>
      <c r="K243" s="2"/>
    </row>
    <row r="244" spans="1:11" x14ac:dyDescent="0.25">
      <c r="A244" s="2" t="s">
        <v>6</v>
      </c>
      <c r="C244" s="2" t="s">
        <v>6</v>
      </c>
      <c r="E244" s="2" t="s">
        <v>6</v>
      </c>
      <c r="G244" s="2" t="s">
        <v>6</v>
      </c>
      <c r="I244" s="2" t="s">
        <v>6</v>
      </c>
      <c r="K244" s="2" t="s">
        <v>6</v>
      </c>
    </row>
    <row r="245" spans="1:11" x14ac:dyDescent="0.25">
      <c r="A245" s="2"/>
      <c r="C245" s="2">
        <v>1</v>
      </c>
      <c r="E245" s="2">
        <v>1</v>
      </c>
      <c r="G245" s="2"/>
      <c r="I245" s="2"/>
      <c r="K245" s="2"/>
    </row>
    <row r="246" spans="1:11" x14ac:dyDescent="0.25">
      <c r="A246" s="2" t="s">
        <v>8</v>
      </c>
      <c r="C246" s="2" t="s">
        <v>8</v>
      </c>
      <c r="E246" s="2" t="s">
        <v>8</v>
      </c>
      <c r="G246" s="2" t="s">
        <v>8</v>
      </c>
      <c r="I246" s="2" t="s">
        <v>8</v>
      </c>
      <c r="K246" s="2" t="s">
        <v>8</v>
      </c>
    </row>
    <row r="247" spans="1:11" x14ac:dyDescent="0.25">
      <c r="A247" s="2"/>
      <c r="C247" s="2">
        <v>1</v>
      </c>
      <c r="E247" s="2">
        <v>5</v>
      </c>
      <c r="G247" s="2"/>
      <c r="I247" s="2"/>
      <c r="K247" s="2"/>
    </row>
    <row r="248" spans="1:11" ht="18.75" x14ac:dyDescent="0.3">
      <c r="A248" s="4" t="s">
        <v>14</v>
      </c>
      <c r="C248" s="4" t="s">
        <v>14</v>
      </c>
      <c r="E248" s="4" t="s">
        <v>14</v>
      </c>
      <c r="G248" s="4" t="s">
        <v>14</v>
      </c>
      <c r="I248" s="4" t="s">
        <v>14</v>
      </c>
      <c r="J248" s="4"/>
      <c r="K248" s="4" t="s">
        <v>14</v>
      </c>
    </row>
    <row r="249" spans="1:11" x14ac:dyDescent="0.25">
      <c r="A249" s="2" t="s">
        <v>3</v>
      </c>
      <c r="C249" s="2" t="s">
        <v>3</v>
      </c>
      <c r="E249" s="2" t="s">
        <v>3</v>
      </c>
      <c r="G249" s="2" t="s">
        <v>3</v>
      </c>
      <c r="I249" s="2" t="s">
        <v>3</v>
      </c>
      <c r="K249" s="2" t="s">
        <v>3</v>
      </c>
    </row>
    <row r="250" spans="1:11" x14ac:dyDescent="0.25">
      <c r="A250" s="2"/>
      <c r="C250" s="2">
        <v>8</v>
      </c>
      <c r="E250" s="2">
        <v>4</v>
      </c>
      <c r="G250" s="2"/>
      <c r="I250" s="2"/>
      <c r="K250" s="2"/>
    </row>
    <row r="251" spans="1:11" x14ac:dyDescent="0.25">
      <c r="A251" s="2" t="s">
        <v>6</v>
      </c>
      <c r="C251" s="2" t="s">
        <v>6</v>
      </c>
      <c r="E251" s="2" t="s">
        <v>6</v>
      </c>
      <c r="G251" s="2" t="s">
        <v>6</v>
      </c>
      <c r="I251" s="2" t="s">
        <v>6</v>
      </c>
      <c r="K251" s="2" t="s">
        <v>6</v>
      </c>
    </row>
    <row r="252" spans="1:11" x14ac:dyDescent="0.25">
      <c r="A252" s="2"/>
      <c r="C252" s="2">
        <v>3</v>
      </c>
      <c r="E252" s="2">
        <v>3</v>
      </c>
      <c r="G252" s="2"/>
      <c r="I252" s="2"/>
      <c r="K252" s="2"/>
    </row>
    <row r="253" spans="1:11" x14ac:dyDescent="0.25">
      <c r="A253" s="2" t="s">
        <v>8</v>
      </c>
      <c r="C253" s="2" t="s">
        <v>8</v>
      </c>
      <c r="E253" s="2" t="s">
        <v>8</v>
      </c>
      <c r="G253" s="2" t="s">
        <v>8</v>
      </c>
      <c r="I253" s="2" t="s">
        <v>8</v>
      </c>
      <c r="K253" s="2" t="s">
        <v>8</v>
      </c>
    </row>
    <row r="254" spans="1:11" x14ac:dyDescent="0.25">
      <c r="A254" s="2"/>
      <c r="C254" s="2">
        <v>4</v>
      </c>
      <c r="E254" s="2">
        <v>7</v>
      </c>
      <c r="G254" s="2"/>
      <c r="I254" s="2"/>
      <c r="K254" s="2"/>
    </row>
  </sheetData>
  <phoneticPr fontId="6"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29418-5700-4659-AFAF-BCD2015E649B}">
  <dimension ref="A1:I15"/>
  <sheetViews>
    <sheetView topLeftCell="A4" workbookViewId="0">
      <selection activeCell="C7" sqref="C7"/>
    </sheetView>
  </sheetViews>
  <sheetFormatPr defaultColWidth="9.140625" defaultRowHeight="15" x14ac:dyDescent="0.25"/>
  <cols>
    <col min="1" max="1" width="50.28515625" style="9" customWidth="1"/>
    <col min="2" max="2" width="77.28515625" style="9" customWidth="1"/>
    <col min="3" max="3" width="62" style="9" customWidth="1"/>
    <col min="4" max="4" width="38.28515625" style="9" customWidth="1"/>
    <col min="5" max="5" width="32.5703125" style="9" customWidth="1"/>
    <col min="6" max="16384" width="9.140625" style="9"/>
  </cols>
  <sheetData>
    <row r="1" spans="1:9" ht="15.75" x14ac:dyDescent="0.25">
      <c r="A1" s="21" t="s">
        <v>306</v>
      </c>
      <c r="B1" s="21" t="s">
        <v>307</v>
      </c>
      <c r="C1" s="21" t="s">
        <v>308</v>
      </c>
      <c r="D1" s="21" t="s">
        <v>309</v>
      </c>
      <c r="E1" s="21" t="s">
        <v>310</v>
      </c>
      <c r="F1" s="21"/>
      <c r="G1" s="21"/>
      <c r="H1" s="21"/>
      <c r="I1" s="21"/>
    </row>
    <row r="2" spans="1:9" ht="409.5" x14ac:dyDescent="0.25">
      <c r="A2" s="22" t="s">
        <v>311</v>
      </c>
      <c r="B2" s="23" t="s">
        <v>312</v>
      </c>
      <c r="C2" s="23" t="s">
        <v>313</v>
      </c>
      <c r="D2" s="23" t="s">
        <v>314</v>
      </c>
      <c r="E2" s="23" t="s">
        <v>315</v>
      </c>
    </row>
    <row r="4" spans="1:9" ht="216.75" customHeight="1" x14ac:dyDescent="0.25">
      <c r="A4" s="260" t="s">
        <v>316</v>
      </c>
      <c r="B4" s="260"/>
      <c r="C4" s="260"/>
    </row>
    <row r="6" spans="1:9" x14ac:dyDescent="0.25">
      <c r="A6" s="8" t="s">
        <v>482</v>
      </c>
      <c r="B6" s="8" t="s">
        <v>483</v>
      </c>
      <c r="C6" s="8" t="s">
        <v>581</v>
      </c>
      <c r="E6" s="9" t="s">
        <v>1260</v>
      </c>
    </row>
    <row r="7" spans="1:9" ht="180" x14ac:dyDescent="0.25">
      <c r="A7" s="97" t="s">
        <v>1414</v>
      </c>
      <c r="B7" s="97" t="s">
        <v>524</v>
      </c>
      <c r="C7" s="97" t="s">
        <v>582</v>
      </c>
      <c r="E7" s="9" t="s">
        <v>1261</v>
      </c>
    </row>
    <row r="8" spans="1:9" ht="15.75" x14ac:dyDescent="0.25">
      <c r="A8" s="43"/>
    </row>
    <row r="10" spans="1:9" ht="330" x14ac:dyDescent="0.25">
      <c r="A10" s="9" t="s">
        <v>559</v>
      </c>
      <c r="B10" s="9" t="s">
        <v>560</v>
      </c>
    </row>
    <row r="12" spans="1:9" ht="409.5" x14ac:dyDescent="0.25">
      <c r="A12" s="9" t="s">
        <v>583</v>
      </c>
    </row>
    <row r="14" spans="1:9" x14ac:dyDescent="0.25">
      <c r="A14" s="9" t="s">
        <v>889</v>
      </c>
    </row>
    <row r="15" spans="1:9" ht="128.25" x14ac:dyDescent="0.25">
      <c r="A15" s="151" t="s">
        <v>888</v>
      </c>
    </row>
  </sheetData>
  <mergeCells count="1">
    <mergeCell ref="A4:C4"/>
  </mergeCells>
  <phoneticPr fontId="6"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827FB-91E8-4732-85E4-E4BB9BB785E7}">
  <dimension ref="A1:I23"/>
  <sheetViews>
    <sheetView topLeftCell="A6" workbookViewId="0">
      <selection activeCell="B23" sqref="B23"/>
    </sheetView>
  </sheetViews>
  <sheetFormatPr defaultRowHeight="15" x14ac:dyDescent="0.25"/>
  <cols>
    <col min="1" max="1" width="38.42578125" style="9" customWidth="1"/>
    <col min="2" max="2" width="27.5703125" style="9" customWidth="1"/>
    <col min="3" max="3" width="52.5703125" style="9" customWidth="1"/>
    <col min="4" max="4" width="38.28515625" style="9" customWidth="1"/>
    <col min="5" max="5" width="57.85546875" style="9" customWidth="1"/>
    <col min="6" max="6" width="50.5703125" style="9" customWidth="1"/>
    <col min="7" max="7" width="25" style="9" bestFit="1" customWidth="1"/>
    <col min="8" max="8" width="14.85546875" bestFit="1" customWidth="1"/>
    <col min="9" max="9" width="20.42578125" style="9" bestFit="1" customWidth="1"/>
    <col min="10" max="10" width="111.28515625" customWidth="1"/>
    <col min="11" max="11" width="12.5703125" customWidth="1"/>
    <col min="12" max="12" width="19.7109375" customWidth="1"/>
    <col min="13" max="13" width="13.5703125" customWidth="1"/>
    <col min="14" max="14" width="16.140625" customWidth="1"/>
    <col min="15" max="15" width="98.7109375" customWidth="1"/>
  </cols>
  <sheetData>
    <row r="1" spans="1:9" x14ac:dyDescent="0.25">
      <c r="A1" s="9" t="s">
        <v>338</v>
      </c>
      <c r="I1"/>
    </row>
    <row r="2" spans="1:9" x14ac:dyDescent="0.25">
      <c r="A2" s="9" t="s">
        <v>339</v>
      </c>
      <c r="I2"/>
    </row>
    <row r="3" spans="1:9" x14ac:dyDescent="0.25">
      <c r="A3" s="9" t="s">
        <v>340</v>
      </c>
      <c r="I3"/>
    </row>
    <row r="4" spans="1:9" x14ac:dyDescent="0.25">
      <c r="A4" s="65">
        <v>45692</v>
      </c>
      <c r="B4" s="65">
        <v>45692</v>
      </c>
      <c r="C4" s="65">
        <v>45694</v>
      </c>
      <c r="D4" s="65">
        <v>45694</v>
      </c>
      <c r="E4" s="65">
        <v>45694</v>
      </c>
      <c r="I4"/>
    </row>
    <row r="5" spans="1:9" x14ac:dyDescent="0.25">
      <c r="A5" s="8" t="s">
        <v>341</v>
      </c>
      <c r="B5" s="8" t="s">
        <v>74</v>
      </c>
      <c r="C5" s="8" t="s">
        <v>70</v>
      </c>
      <c r="D5" s="8" t="s">
        <v>76</v>
      </c>
      <c r="E5" s="8" t="s">
        <v>81</v>
      </c>
      <c r="F5" s="8" t="s">
        <v>342</v>
      </c>
      <c r="G5" s="8" t="s">
        <v>343</v>
      </c>
      <c r="I5"/>
    </row>
    <row r="6" spans="1:9" ht="45" x14ac:dyDescent="0.25">
      <c r="A6" s="7" t="s">
        <v>344</v>
      </c>
      <c r="B6" s="7" t="s">
        <v>345</v>
      </c>
      <c r="C6" s="7" t="s">
        <v>346</v>
      </c>
      <c r="D6" s="7" t="s">
        <v>347</v>
      </c>
      <c r="E6" s="7" t="s">
        <v>348</v>
      </c>
      <c r="F6" s="7" t="s">
        <v>349</v>
      </c>
      <c r="G6" s="7" t="s">
        <v>350</v>
      </c>
      <c r="I6"/>
    </row>
    <row r="7" spans="1:9" ht="60" x14ac:dyDescent="0.25">
      <c r="A7" s="7" t="s">
        <v>351</v>
      </c>
      <c r="B7" s="7" t="s">
        <v>352</v>
      </c>
      <c r="C7" s="7" t="s">
        <v>353</v>
      </c>
      <c r="D7" s="7" t="s">
        <v>354</v>
      </c>
      <c r="E7" s="7" t="s">
        <v>355</v>
      </c>
      <c r="F7" s="7" t="s">
        <v>356</v>
      </c>
      <c r="G7" s="7" t="s">
        <v>357</v>
      </c>
      <c r="I7"/>
    </row>
    <row r="8" spans="1:9" ht="120" x14ac:dyDescent="0.25">
      <c r="A8" s="7" t="s">
        <v>358</v>
      </c>
      <c r="B8" s="7" t="s">
        <v>359</v>
      </c>
      <c r="C8" s="7" t="s">
        <v>360</v>
      </c>
      <c r="D8" s="7" t="s">
        <v>361</v>
      </c>
      <c r="E8" s="7" t="s">
        <v>362</v>
      </c>
      <c r="F8" s="7" t="s">
        <v>363</v>
      </c>
      <c r="G8" s="7" t="s">
        <v>364</v>
      </c>
      <c r="I8"/>
    </row>
    <row r="9" spans="1:9" ht="90" x14ac:dyDescent="0.25">
      <c r="A9" s="7" t="s">
        <v>365</v>
      </c>
      <c r="B9" s="7" t="s">
        <v>366</v>
      </c>
      <c r="C9" s="7" t="s">
        <v>367</v>
      </c>
      <c r="D9" s="7" t="s">
        <v>368</v>
      </c>
      <c r="E9" s="7" t="s">
        <v>369</v>
      </c>
      <c r="F9" s="7" t="s">
        <v>370</v>
      </c>
      <c r="G9" s="7" t="s">
        <v>371</v>
      </c>
      <c r="I9"/>
    </row>
    <row r="10" spans="1:9" ht="90" x14ac:dyDescent="0.25">
      <c r="A10" s="7" t="s">
        <v>372</v>
      </c>
      <c r="B10" s="7" t="s">
        <v>373</v>
      </c>
      <c r="C10" s="7" t="s">
        <v>374</v>
      </c>
      <c r="D10" s="7" t="s">
        <v>375</v>
      </c>
      <c r="E10" s="7" t="s">
        <v>376</v>
      </c>
      <c r="F10" s="7" t="s">
        <v>377</v>
      </c>
      <c r="G10" s="7" t="s">
        <v>378</v>
      </c>
      <c r="I10"/>
    </row>
    <row r="11" spans="1:9" ht="90" x14ac:dyDescent="0.25">
      <c r="A11" s="7" t="s">
        <v>379</v>
      </c>
      <c r="B11" s="7" t="s">
        <v>380</v>
      </c>
      <c r="C11" s="7"/>
      <c r="D11" s="7" t="s">
        <v>381</v>
      </c>
      <c r="E11" s="7"/>
      <c r="F11" s="7"/>
      <c r="G11" s="7"/>
      <c r="I11"/>
    </row>
    <row r="12" spans="1:9" ht="60" x14ac:dyDescent="0.25">
      <c r="A12" s="7" t="s">
        <v>382</v>
      </c>
      <c r="B12" s="7" t="s">
        <v>383</v>
      </c>
      <c r="C12" s="7"/>
      <c r="D12" s="7"/>
      <c r="E12" s="7"/>
      <c r="F12" s="7"/>
      <c r="G12" s="7"/>
      <c r="I12"/>
    </row>
    <row r="13" spans="1:9" x14ac:dyDescent="0.25">
      <c r="A13" s="8" t="s">
        <v>588</v>
      </c>
      <c r="B13" s="8" t="s">
        <v>74</v>
      </c>
      <c r="C13" s="8" t="s">
        <v>70</v>
      </c>
      <c r="D13" s="8" t="s">
        <v>424</v>
      </c>
      <c r="E13" s="8" t="s">
        <v>81</v>
      </c>
      <c r="F13" s="8" t="s">
        <v>342</v>
      </c>
      <c r="G13" s="8" t="s">
        <v>343</v>
      </c>
      <c r="H13" s="8" t="s">
        <v>589</v>
      </c>
    </row>
    <row r="14" spans="1:9" x14ac:dyDescent="0.25">
      <c r="A14" s="110">
        <v>45779</v>
      </c>
      <c r="C14" s="65">
        <v>45785</v>
      </c>
      <c r="D14" s="65">
        <v>45783</v>
      </c>
      <c r="E14" s="65">
        <v>45783</v>
      </c>
      <c r="F14" s="65">
        <v>45784</v>
      </c>
    </row>
    <row r="15" spans="1:9" ht="150" x14ac:dyDescent="0.25">
      <c r="A15" s="89" t="s">
        <v>590</v>
      </c>
      <c r="B15" s="89"/>
      <c r="C15" s="89" t="s">
        <v>591</v>
      </c>
      <c r="D15" s="89" t="s">
        <v>593</v>
      </c>
      <c r="E15" s="89" t="s">
        <v>592</v>
      </c>
      <c r="F15" s="89" t="s">
        <v>585</v>
      </c>
      <c r="G15" s="89"/>
      <c r="H15" s="89"/>
    </row>
    <row r="16" spans="1:9" x14ac:dyDescent="0.25">
      <c r="A16" s="9" t="s">
        <v>874</v>
      </c>
    </row>
    <row r="18" spans="1:2" ht="15.75" x14ac:dyDescent="0.25">
      <c r="A18" s="21" t="s">
        <v>875</v>
      </c>
      <c r="B18" s="9" t="s">
        <v>881</v>
      </c>
    </row>
    <row r="19" spans="1:2" ht="45" x14ac:dyDescent="0.25">
      <c r="A19" s="9" t="s">
        <v>876</v>
      </c>
      <c r="B19" s="9" t="s">
        <v>882</v>
      </c>
    </row>
    <row r="20" spans="1:2" ht="90" x14ac:dyDescent="0.25">
      <c r="A20" s="9" t="s">
        <v>877</v>
      </c>
      <c r="B20" s="9" t="s">
        <v>883</v>
      </c>
    </row>
    <row r="21" spans="1:2" ht="105" x14ac:dyDescent="0.25">
      <c r="A21" s="9" t="s">
        <v>878</v>
      </c>
      <c r="B21" s="9" t="s">
        <v>884</v>
      </c>
    </row>
    <row r="22" spans="1:2" ht="45" x14ac:dyDescent="0.25">
      <c r="A22" s="9" t="s">
        <v>879</v>
      </c>
      <c r="B22" s="9" t="s">
        <v>885</v>
      </c>
    </row>
    <row r="23" spans="1:2" ht="45" x14ac:dyDescent="0.25">
      <c r="A23" s="9" t="s">
        <v>880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313B2-66AE-43C1-A7F8-CE93E34A2F1E}">
  <dimension ref="A1:D12"/>
  <sheetViews>
    <sheetView workbookViewId="0">
      <selection activeCell="D12" sqref="D12"/>
    </sheetView>
  </sheetViews>
  <sheetFormatPr defaultRowHeight="15" x14ac:dyDescent="0.25"/>
  <cols>
    <col min="1" max="1" width="16.7109375" style="9" bestFit="1" customWidth="1"/>
    <col min="2" max="2" width="17.42578125" style="9" bestFit="1" customWidth="1"/>
    <col min="3" max="3" width="18.85546875" style="9" bestFit="1" customWidth="1"/>
    <col min="4" max="4" width="29.7109375" customWidth="1"/>
    <col min="5" max="5" width="27.5703125" customWidth="1"/>
  </cols>
  <sheetData>
    <row r="1" spans="1:4" x14ac:dyDescent="0.25">
      <c r="A1" s="9" t="s">
        <v>384</v>
      </c>
      <c r="B1" s="9" t="s">
        <v>385</v>
      </c>
      <c r="D1" s="86" t="s">
        <v>437</v>
      </c>
    </row>
    <row r="2" spans="1:4" x14ac:dyDescent="0.25">
      <c r="A2" s="9" t="s">
        <v>386</v>
      </c>
      <c r="B2" s="9" t="s">
        <v>387</v>
      </c>
      <c r="D2" s="86" t="s">
        <v>438</v>
      </c>
    </row>
    <row r="3" spans="1:4" x14ac:dyDescent="0.25">
      <c r="A3" s="9" t="s">
        <v>388</v>
      </c>
      <c r="B3" s="9" t="s">
        <v>389</v>
      </c>
      <c r="D3" s="86" t="s">
        <v>439</v>
      </c>
    </row>
    <row r="4" spans="1:4" x14ac:dyDescent="0.25">
      <c r="A4" s="9" t="s">
        <v>390</v>
      </c>
      <c r="B4" s="9" t="s">
        <v>389</v>
      </c>
      <c r="D4" s="86" t="s">
        <v>440</v>
      </c>
    </row>
    <row r="5" spans="1:4" x14ac:dyDescent="0.25">
      <c r="A5" s="9" t="s">
        <v>391</v>
      </c>
      <c r="B5" s="9" t="s">
        <v>392</v>
      </c>
      <c r="D5" s="86" t="s">
        <v>441</v>
      </c>
    </row>
    <row r="6" spans="1:4" x14ac:dyDescent="0.25">
      <c r="D6" s="86" t="s">
        <v>442</v>
      </c>
    </row>
    <row r="7" spans="1:4" x14ac:dyDescent="0.25">
      <c r="D7" s="86" t="s">
        <v>443</v>
      </c>
    </row>
    <row r="11" spans="1:4" x14ac:dyDescent="0.25">
      <c r="A11" s="8" t="s">
        <v>719</v>
      </c>
      <c r="B11" s="8" t="s">
        <v>721</v>
      </c>
      <c r="C11" s="8" t="s">
        <v>722</v>
      </c>
    </row>
    <row r="12" spans="1:4" ht="30" x14ac:dyDescent="0.25">
      <c r="A12" s="9" t="s">
        <v>725</v>
      </c>
      <c r="B12" s="9" t="s">
        <v>724</v>
      </c>
      <c r="C12" s="9" t="s">
        <v>723</v>
      </c>
      <c r="D12" s="9" t="s">
        <v>726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9D0DD-EE02-4BD2-9CAB-E665009DFF84}">
  <dimension ref="A3:E21"/>
  <sheetViews>
    <sheetView zoomScaleNormal="100" workbookViewId="0">
      <pane xSplit="14" ySplit="1" topLeftCell="O6" activePane="bottomRight" state="frozen"/>
      <selection pane="topRight" activeCell="O1" sqref="O1"/>
      <selection pane="bottomLeft" activeCell="A19" sqref="A19"/>
      <selection pane="bottomRight" activeCell="E11" sqref="E11"/>
    </sheetView>
  </sheetViews>
  <sheetFormatPr defaultRowHeight="15" x14ac:dyDescent="0.25"/>
  <cols>
    <col min="1" max="1" width="11.42578125" bestFit="1" customWidth="1"/>
    <col min="2" max="2" width="13.28515625" customWidth="1"/>
    <col min="3" max="3" width="12.28515625" customWidth="1"/>
    <col min="4" max="4" width="12" customWidth="1"/>
    <col min="5" max="5" width="20" customWidth="1"/>
  </cols>
  <sheetData>
    <row r="3" spans="1:5" x14ac:dyDescent="0.25">
      <c r="A3" s="108" t="s">
        <v>573</v>
      </c>
    </row>
    <row r="4" spans="1:5" ht="30" x14ac:dyDescent="0.25">
      <c r="A4" s="6" t="s">
        <v>564</v>
      </c>
      <c r="B4" s="6" t="s">
        <v>566</v>
      </c>
      <c r="C4" s="8" t="s">
        <v>567</v>
      </c>
      <c r="D4" s="8" t="s">
        <v>570</v>
      </c>
      <c r="E4" s="8" t="s">
        <v>571</v>
      </c>
    </row>
    <row r="5" spans="1:5" ht="30" x14ac:dyDescent="0.25">
      <c r="A5" s="7" t="s">
        <v>565</v>
      </c>
      <c r="B5" s="109">
        <v>42.5</v>
      </c>
      <c r="C5" s="109">
        <f>B5/8</f>
        <v>5.3125</v>
      </c>
      <c r="D5" s="109"/>
      <c r="E5" s="109"/>
    </row>
    <row r="6" spans="1:5" ht="45" x14ac:dyDescent="0.25">
      <c r="A6" s="7" t="s">
        <v>568</v>
      </c>
      <c r="B6" s="109">
        <v>120</v>
      </c>
      <c r="C6" s="109"/>
      <c r="D6" s="109">
        <f>B6/10</f>
        <v>12</v>
      </c>
      <c r="E6" s="109"/>
    </row>
    <row r="7" spans="1:5" ht="30" x14ac:dyDescent="0.25">
      <c r="A7" s="7" t="s">
        <v>569</v>
      </c>
      <c r="B7" s="109">
        <v>34</v>
      </c>
      <c r="C7" s="109">
        <f t="shared" ref="C7" si="0">B7/8</f>
        <v>4.25</v>
      </c>
      <c r="D7" s="109"/>
      <c r="E7" s="109">
        <f>B7*(5*4)</f>
        <v>680</v>
      </c>
    </row>
    <row r="9" spans="1:5" ht="30" x14ac:dyDescent="0.25">
      <c r="A9" s="8" t="s">
        <v>574</v>
      </c>
      <c r="B9" t="s">
        <v>575</v>
      </c>
    </row>
    <row r="10" spans="1:5" ht="30" x14ac:dyDescent="0.25">
      <c r="A10" s="6" t="s">
        <v>564</v>
      </c>
      <c r="B10" s="6" t="s">
        <v>566</v>
      </c>
      <c r="C10" s="8" t="s">
        <v>567</v>
      </c>
      <c r="D10" s="8" t="s">
        <v>570</v>
      </c>
      <c r="E10" s="8" t="s">
        <v>571</v>
      </c>
    </row>
    <row r="11" spans="1:5" ht="30" x14ac:dyDescent="0.25">
      <c r="A11" t="s">
        <v>576</v>
      </c>
      <c r="B11" t="s">
        <v>577</v>
      </c>
      <c r="C11" s="9" t="s">
        <v>578</v>
      </c>
      <c r="D11" s="8"/>
      <c r="E11" s="8"/>
    </row>
    <row r="12" spans="1:5" ht="30" x14ac:dyDescent="0.25">
      <c r="A12" s="7" t="s">
        <v>565</v>
      </c>
      <c r="B12" s="109">
        <v>42.5</v>
      </c>
      <c r="C12" s="109">
        <f>B12/8</f>
        <v>5.3125</v>
      </c>
      <c r="D12" s="109"/>
      <c r="E12" s="109"/>
    </row>
    <row r="13" spans="1:5" ht="45" x14ac:dyDescent="0.25">
      <c r="A13" s="7" t="s">
        <v>568</v>
      </c>
      <c r="B13" s="109">
        <v>120</v>
      </c>
      <c r="C13" s="109"/>
      <c r="D13" s="109">
        <f>B13/10</f>
        <v>12</v>
      </c>
      <c r="E13" s="109"/>
    </row>
    <row r="14" spans="1:5" ht="30" x14ac:dyDescent="0.25">
      <c r="A14" s="7" t="s">
        <v>569</v>
      </c>
      <c r="B14" s="109">
        <v>59.5</v>
      </c>
      <c r="C14" s="109">
        <f t="shared" ref="C14" si="1">B14/8</f>
        <v>7.4375</v>
      </c>
      <c r="D14" s="109"/>
      <c r="E14" s="109">
        <f>B14*(5*4)</f>
        <v>1190</v>
      </c>
    </row>
    <row r="16" spans="1:5" ht="30" x14ac:dyDescent="0.25">
      <c r="A16" s="8" t="s">
        <v>574</v>
      </c>
      <c r="B16" t="s">
        <v>579</v>
      </c>
    </row>
    <row r="17" spans="1:5" ht="30" x14ac:dyDescent="0.25">
      <c r="A17" s="6" t="s">
        <v>564</v>
      </c>
      <c r="B17" s="6" t="s">
        <v>566</v>
      </c>
      <c r="C17" s="8" t="s">
        <v>567</v>
      </c>
      <c r="D17" s="8" t="s">
        <v>570</v>
      </c>
      <c r="E17" s="8" t="s">
        <v>571</v>
      </c>
    </row>
    <row r="18" spans="1:5" ht="30" x14ac:dyDescent="0.25">
      <c r="A18" t="s">
        <v>576</v>
      </c>
      <c r="B18" t="s">
        <v>577</v>
      </c>
      <c r="C18" s="9" t="s">
        <v>578</v>
      </c>
      <c r="D18" s="8"/>
      <c r="E18" s="8"/>
    </row>
    <row r="19" spans="1:5" ht="30" x14ac:dyDescent="0.25">
      <c r="A19" s="7" t="s">
        <v>565</v>
      </c>
      <c r="B19" s="109">
        <v>42.5</v>
      </c>
      <c r="C19" s="109">
        <f>B19/8</f>
        <v>5.3125</v>
      </c>
      <c r="D19" s="109"/>
      <c r="E19" s="109"/>
    </row>
    <row r="20" spans="1:5" ht="45" x14ac:dyDescent="0.25">
      <c r="A20" s="7" t="s">
        <v>568</v>
      </c>
      <c r="B20" s="109">
        <v>120</v>
      </c>
      <c r="C20" s="109"/>
      <c r="D20" s="109">
        <f>B20/10</f>
        <v>12</v>
      </c>
      <c r="E20" s="109"/>
    </row>
    <row r="21" spans="1:5" ht="30" x14ac:dyDescent="0.25">
      <c r="A21" s="7" t="s">
        <v>569</v>
      </c>
      <c r="B21" s="109">
        <v>34</v>
      </c>
      <c r="C21" s="109">
        <f t="shared" ref="C21" si="2">B21/8</f>
        <v>4.25</v>
      </c>
      <c r="D21" s="109"/>
      <c r="E21" s="109">
        <f>B21*(5*4)</f>
        <v>680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C24C0-3082-4D0C-84C4-0D4E6D5C1F25}">
  <dimension ref="A1:M13"/>
  <sheetViews>
    <sheetView topLeftCell="A3" workbookViewId="0">
      <selection activeCell="C4" sqref="C4"/>
    </sheetView>
  </sheetViews>
  <sheetFormatPr defaultColWidth="14.85546875" defaultRowHeight="15" x14ac:dyDescent="0.25"/>
  <cols>
    <col min="1" max="1" width="12.7109375" bestFit="1" customWidth="1"/>
    <col min="2" max="2" width="45" bestFit="1" customWidth="1"/>
    <col min="3" max="3" width="37.7109375" bestFit="1" customWidth="1"/>
    <col min="5" max="5" width="14.28515625" bestFit="1" customWidth="1"/>
    <col min="6" max="6" width="7.28515625" bestFit="1" customWidth="1"/>
    <col min="7" max="8" width="6" bestFit="1" customWidth="1"/>
    <col min="9" max="9" width="5.5703125" bestFit="1" customWidth="1"/>
    <col min="10" max="10" width="5.42578125" bestFit="1" customWidth="1"/>
    <col min="11" max="11" width="17.42578125" customWidth="1"/>
    <col min="12" max="12" width="20.28515625" customWidth="1"/>
    <col min="13" max="13" width="13.5703125" customWidth="1"/>
  </cols>
  <sheetData>
    <row r="1" spans="1:13" x14ac:dyDescent="0.25">
      <c r="A1" s="6" t="s">
        <v>611</v>
      </c>
      <c r="B1" s="8" t="s">
        <v>908</v>
      </c>
      <c r="C1" s="6" t="s">
        <v>909</v>
      </c>
      <c r="E1" t="s">
        <v>910</v>
      </c>
    </row>
    <row r="2" spans="1:13" x14ac:dyDescent="0.25">
      <c r="A2" s="6" t="s">
        <v>911</v>
      </c>
      <c r="B2" s="9"/>
      <c r="E2" s="156" t="s">
        <v>794</v>
      </c>
      <c r="F2" s="157" t="s">
        <v>424</v>
      </c>
      <c r="G2" s="157" t="s">
        <v>471</v>
      </c>
      <c r="H2" s="157" t="s">
        <v>589</v>
      </c>
      <c r="I2" s="157" t="s">
        <v>70</v>
      </c>
      <c r="J2" s="157" t="s">
        <v>72</v>
      </c>
      <c r="K2" s="157" t="s">
        <v>74</v>
      </c>
      <c r="L2" s="157" t="s">
        <v>81</v>
      </c>
      <c r="M2" s="157" t="s">
        <v>83</v>
      </c>
    </row>
    <row r="3" spans="1:13" ht="30" x14ac:dyDescent="0.25">
      <c r="A3" s="2" t="s">
        <v>342</v>
      </c>
      <c r="B3" s="7" t="s">
        <v>912</v>
      </c>
      <c r="C3" s="2" t="s">
        <v>913</v>
      </c>
      <c r="E3" s="158" t="s">
        <v>131</v>
      </c>
      <c r="F3" s="159">
        <v>7</v>
      </c>
      <c r="G3" s="159">
        <v>8</v>
      </c>
      <c r="H3" s="159">
        <v>20</v>
      </c>
      <c r="I3" s="159">
        <v>20</v>
      </c>
      <c r="J3" s="159">
        <v>21</v>
      </c>
      <c r="K3" s="159">
        <v>34</v>
      </c>
      <c r="L3" s="159">
        <v>24</v>
      </c>
      <c r="M3" s="160">
        <v>32</v>
      </c>
    </row>
    <row r="4" spans="1:13" ht="90" x14ac:dyDescent="0.25">
      <c r="A4" s="2" t="s">
        <v>914</v>
      </c>
      <c r="B4" s="7" t="s">
        <v>915</v>
      </c>
      <c r="C4" s="7" t="s">
        <v>916</v>
      </c>
      <c r="E4" s="158" t="s">
        <v>148</v>
      </c>
      <c r="F4" s="159">
        <v>3</v>
      </c>
      <c r="G4" s="159">
        <v>3</v>
      </c>
      <c r="H4" s="159">
        <v>11</v>
      </c>
      <c r="I4" s="159">
        <v>2</v>
      </c>
      <c r="J4" s="159">
        <v>6</v>
      </c>
      <c r="K4" s="159">
        <v>8</v>
      </c>
      <c r="L4" s="159">
        <v>9</v>
      </c>
      <c r="M4" s="160">
        <v>7</v>
      </c>
    </row>
    <row r="5" spans="1:13" ht="45" x14ac:dyDescent="0.25">
      <c r="A5" s="2" t="s">
        <v>917</v>
      </c>
      <c r="B5" s="7" t="s">
        <v>918</v>
      </c>
      <c r="C5" s="2"/>
      <c r="E5" s="158" t="s">
        <v>171</v>
      </c>
      <c r="F5" s="159">
        <v>13</v>
      </c>
      <c r="G5" s="159">
        <v>16</v>
      </c>
      <c r="H5" s="159">
        <v>13</v>
      </c>
      <c r="I5" s="159">
        <v>24</v>
      </c>
      <c r="J5" s="159">
        <v>30</v>
      </c>
      <c r="K5" s="159">
        <v>40</v>
      </c>
      <c r="L5" s="159">
        <v>44</v>
      </c>
      <c r="M5" s="160">
        <v>34</v>
      </c>
    </row>
    <row r="6" spans="1:13" ht="75" x14ac:dyDescent="0.25">
      <c r="A6" s="2" t="s">
        <v>74</v>
      </c>
      <c r="B6" s="7" t="s">
        <v>919</v>
      </c>
      <c r="C6" s="7" t="s">
        <v>920</v>
      </c>
      <c r="E6" s="158" t="s">
        <v>795</v>
      </c>
      <c r="F6" s="159">
        <v>3</v>
      </c>
      <c r="G6" s="159">
        <v>2</v>
      </c>
      <c r="H6" s="159">
        <v>2</v>
      </c>
      <c r="I6" s="159">
        <v>1</v>
      </c>
      <c r="J6" s="159">
        <v>2</v>
      </c>
      <c r="K6" s="159">
        <v>3</v>
      </c>
      <c r="L6" s="159">
        <v>3</v>
      </c>
      <c r="M6" s="160">
        <v>1</v>
      </c>
    </row>
    <row r="7" spans="1:13" ht="90" x14ac:dyDescent="0.25">
      <c r="A7" s="2" t="s">
        <v>343</v>
      </c>
      <c r="B7" s="23" t="s">
        <v>921</v>
      </c>
      <c r="C7" s="7" t="s">
        <v>922</v>
      </c>
      <c r="E7" s="158" t="s">
        <v>250</v>
      </c>
      <c r="F7" s="159">
        <v>11</v>
      </c>
      <c r="G7" s="159">
        <v>6</v>
      </c>
      <c r="H7" s="159">
        <v>16</v>
      </c>
      <c r="I7" s="159">
        <v>2</v>
      </c>
      <c r="J7" s="159">
        <v>8</v>
      </c>
      <c r="K7" s="159">
        <v>16</v>
      </c>
      <c r="L7" s="159">
        <v>13</v>
      </c>
      <c r="M7" s="160">
        <v>8</v>
      </c>
    </row>
    <row r="8" spans="1:13" x14ac:dyDescent="0.25">
      <c r="A8" s="6" t="s">
        <v>405</v>
      </c>
      <c r="B8" s="9"/>
      <c r="E8" s="158" t="s">
        <v>796</v>
      </c>
      <c r="F8" s="159">
        <v>2</v>
      </c>
      <c r="G8" s="159">
        <v>1</v>
      </c>
      <c r="H8" s="159"/>
      <c r="I8" s="159">
        <v>3</v>
      </c>
      <c r="J8" s="159">
        <v>1</v>
      </c>
      <c r="K8" s="159">
        <v>6</v>
      </c>
      <c r="L8" s="159">
        <v>1</v>
      </c>
      <c r="M8" s="160">
        <v>2</v>
      </c>
    </row>
    <row r="9" spans="1:13" ht="90" x14ac:dyDescent="0.25">
      <c r="A9" s="2" t="s">
        <v>423</v>
      </c>
      <c r="B9" s="23" t="s">
        <v>923</v>
      </c>
      <c r="C9" s="2" t="s">
        <v>924</v>
      </c>
      <c r="E9" s="158" t="s">
        <v>167</v>
      </c>
      <c r="F9" s="159"/>
      <c r="G9" s="159">
        <v>1</v>
      </c>
      <c r="H9" s="159"/>
      <c r="I9" s="159">
        <v>1</v>
      </c>
      <c r="J9" s="159">
        <v>3</v>
      </c>
      <c r="K9" s="159">
        <v>1</v>
      </c>
      <c r="L9" s="159"/>
      <c r="M9" s="160"/>
    </row>
    <row r="10" spans="1:13" ht="105" x14ac:dyDescent="0.25">
      <c r="A10" s="2" t="s">
        <v>588</v>
      </c>
      <c r="B10" s="7" t="s">
        <v>925</v>
      </c>
      <c r="C10" s="7" t="s">
        <v>926</v>
      </c>
      <c r="E10" s="158" t="s">
        <v>134</v>
      </c>
      <c r="F10" s="159">
        <v>3</v>
      </c>
      <c r="G10" s="159">
        <v>3</v>
      </c>
      <c r="H10" s="159">
        <v>6</v>
      </c>
      <c r="I10" s="159">
        <v>12</v>
      </c>
      <c r="J10" s="159">
        <v>7</v>
      </c>
      <c r="K10" s="159">
        <v>2</v>
      </c>
      <c r="L10" s="159">
        <v>11</v>
      </c>
      <c r="M10" s="160">
        <v>2</v>
      </c>
    </row>
    <row r="11" spans="1:13" ht="135" x14ac:dyDescent="0.25">
      <c r="A11" s="2" t="s">
        <v>424</v>
      </c>
      <c r="B11" s="7" t="s">
        <v>927</v>
      </c>
      <c r="C11" s="2" t="s">
        <v>928</v>
      </c>
      <c r="E11" s="158" t="s">
        <v>244</v>
      </c>
      <c r="F11" s="159">
        <v>2</v>
      </c>
      <c r="G11" s="159">
        <v>2</v>
      </c>
      <c r="H11" s="159">
        <v>2</v>
      </c>
      <c r="I11" s="159">
        <v>10</v>
      </c>
      <c r="J11" s="159">
        <v>5</v>
      </c>
      <c r="K11" s="159">
        <v>7</v>
      </c>
      <c r="L11" s="159">
        <v>5</v>
      </c>
      <c r="M11" s="160">
        <v>6</v>
      </c>
    </row>
    <row r="12" spans="1:13" x14ac:dyDescent="0.25">
      <c r="B12" s="9"/>
      <c r="E12" s="158" t="s">
        <v>797</v>
      </c>
      <c r="F12" s="159">
        <v>9</v>
      </c>
      <c r="G12" s="159">
        <v>4</v>
      </c>
      <c r="H12" s="159">
        <v>4</v>
      </c>
      <c r="I12" s="159">
        <v>6</v>
      </c>
      <c r="J12" s="159">
        <v>18</v>
      </c>
      <c r="K12" s="159"/>
      <c r="L12" s="159">
        <v>1</v>
      </c>
      <c r="M12" s="160">
        <v>10</v>
      </c>
    </row>
    <row r="13" spans="1:13" x14ac:dyDescent="0.25">
      <c r="B13" s="9"/>
      <c r="E13" s="161" t="s">
        <v>39</v>
      </c>
      <c r="F13" s="162">
        <v>53</v>
      </c>
      <c r="G13" s="162">
        <v>46</v>
      </c>
      <c r="H13" s="162">
        <v>74</v>
      </c>
      <c r="I13" s="162">
        <v>81</v>
      </c>
      <c r="J13" s="162">
        <v>101</v>
      </c>
      <c r="K13" s="162">
        <v>117</v>
      </c>
      <c r="L13" s="162">
        <v>111</v>
      </c>
      <c r="M13" s="162">
        <v>102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5BB03-0272-42F3-B851-734F49AB534C}">
  <dimension ref="A5:AA63"/>
  <sheetViews>
    <sheetView workbookViewId="0">
      <selection activeCell="B7" sqref="B7"/>
    </sheetView>
  </sheetViews>
  <sheetFormatPr defaultRowHeight="15" x14ac:dyDescent="0.25"/>
  <cols>
    <col min="1" max="1" width="13.42578125" bestFit="1" customWidth="1"/>
    <col min="2" max="2" width="13.5703125" bestFit="1" customWidth="1"/>
    <col min="4" max="4" width="13.42578125" bestFit="1" customWidth="1"/>
    <col min="5" max="5" width="13.5703125" bestFit="1" customWidth="1"/>
    <col min="12" max="12" width="22.5703125" bestFit="1" customWidth="1"/>
    <col min="13" max="13" width="12.7109375" customWidth="1"/>
    <col min="14" max="14" width="12.5703125" bestFit="1" customWidth="1"/>
    <col min="15" max="15" width="11.5703125" bestFit="1" customWidth="1"/>
    <col min="16" max="16" width="19.5703125" bestFit="1" customWidth="1"/>
    <col min="17" max="17" width="11.42578125" bestFit="1" customWidth="1"/>
    <col min="18" max="18" width="12" bestFit="1" customWidth="1"/>
    <col min="19" max="19" width="11.5703125" bestFit="1" customWidth="1"/>
    <col min="20" max="20" width="19.5703125" bestFit="1" customWidth="1"/>
    <col min="21" max="21" width="11.42578125" bestFit="1" customWidth="1"/>
    <col min="22" max="22" width="12" bestFit="1" customWidth="1"/>
    <col min="23" max="23" width="11.5703125" bestFit="1" customWidth="1"/>
    <col min="24" max="24" width="20.42578125" bestFit="1" customWidth="1"/>
    <col min="25" max="25" width="11.42578125" bestFit="1" customWidth="1"/>
    <col min="26" max="26" width="12" bestFit="1" customWidth="1"/>
    <col min="27" max="27" width="11.5703125" bestFit="1" customWidth="1"/>
  </cols>
  <sheetData>
    <row r="5" spans="1:27" x14ac:dyDescent="0.25">
      <c r="A5" s="150" t="s">
        <v>994</v>
      </c>
      <c r="B5" s="150"/>
      <c r="D5" s="150" t="s">
        <v>994</v>
      </c>
      <c r="E5" s="150"/>
    </row>
    <row r="6" spans="1:27" ht="30" x14ac:dyDescent="0.25">
      <c r="A6" s="150"/>
      <c r="B6" s="87" t="s">
        <v>1025</v>
      </c>
      <c r="D6" s="150"/>
      <c r="E6" s="87" t="s">
        <v>1025</v>
      </c>
      <c r="L6" s="98" t="s">
        <v>1026</v>
      </c>
      <c r="M6" s="98" t="s">
        <v>26</v>
      </c>
      <c r="N6" s="98" t="s">
        <v>28</v>
      </c>
      <c r="O6" s="98" t="s">
        <v>1023</v>
      </c>
      <c r="P6" s="98" t="s">
        <v>1027</v>
      </c>
      <c r="Q6" s="184" t="s">
        <v>26</v>
      </c>
      <c r="R6" s="184" t="s">
        <v>28</v>
      </c>
      <c r="S6" s="184" t="s">
        <v>1023</v>
      </c>
      <c r="T6" s="98" t="s">
        <v>1028</v>
      </c>
      <c r="U6" s="184" t="s">
        <v>26</v>
      </c>
      <c r="V6" s="184" t="s">
        <v>28</v>
      </c>
      <c r="W6" s="184" t="s">
        <v>1023</v>
      </c>
      <c r="X6" s="98" t="s">
        <v>1029</v>
      </c>
      <c r="Y6" s="184" t="s">
        <v>26</v>
      </c>
      <c r="Z6" s="184" t="s">
        <v>28</v>
      </c>
      <c r="AA6" s="184" t="s">
        <v>1023</v>
      </c>
    </row>
    <row r="7" spans="1:27" x14ac:dyDescent="0.25">
      <c r="A7" s="150" t="s">
        <v>1030</v>
      </c>
      <c r="B7" s="150"/>
      <c r="D7" s="150" t="s">
        <v>1030</v>
      </c>
      <c r="E7" s="150"/>
      <c r="H7" t="s">
        <v>998</v>
      </c>
      <c r="I7">
        <v>2</v>
      </c>
      <c r="L7" s="27" t="s">
        <v>37</v>
      </c>
      <c r="M7" s="185">
        <v>22.5</v>
      </c>
      <c r="N7" s="185">
        <v>236.93</v>
      </c>
      <c r="O7" s="186">
        <v>15.145</v>
      </c>
      <c r="P7" s="27" t="s">
        <v>37</v>
      </c>
      <c r="Q7" s="185">
        <v>24.25</v>
      </c>
      <c r="R7" s="185">
        <v>226.67750000000001</v>
      </c>
      <c r="S7" s="186">
        <v>19.142499999999998</v>
      </c>
      <c r="T7" s="27" t="s">
        <v>37</v>
      </c>
      <c r="U7" s="185">
        <v>22.4</v>
      </c>
      <c r="V7" s="187">
        <v>175.19800000000004</v>
      </c>
      <c r="W7" s="186">
        <v>11.827999999999999</v>
      </c>
      <c r="X7" s="27" t="s">
        <v>37</v>
      </c>
      <c r="Y7" s="188">
        <v>19</v>
      </c>
      <c r="Z7" s="187">
        <v>128.5</v>
      </c>
      <c r="AA7" s="187">
        <v>7.75</v>
      </c>
    </row>
    <row r="8" spans="1:27" x14ac:dyDescent="0.25">
      <c r="A8" s="150" t="s">
        <v>823</v>
      </c>
      <c r="B8" s="150"/>
      <c r="D8" s="150" t="s">
        <v>823</v>
      </c>
      <c r="E8" s="150">
        <v>6</v>
      </c>
      <c r="H8" t="s">
        <v>406</v>
      </c>
      <c r="I8">
        <v>7</v>
      </c>
      <c r="L8" s="27" t="s">
        <v>9</v>
      </c>
      <c r="M8" s="185">
        <v>30</v>
      </c>
      <c r="N8" s="185">
        <v>281.14249999999998</v>
      </c>
      <c r="O8" s="186">
        <v>20.822499999999998</v>
      </c>
      <c r="P8" s="27" t="s">
        <v>9</v>
      </c>
      <c r="Q8" s="185">
        <v>34</v>
      </c>
      <c r="R8" s="185">
        <v>225.92750000000001</v>
      </c>
      <c r="S8" s="186">
        <v>24.782499999999999</v>
      </c>
      <c r="T8" s="27" t="s">
        <v>9</v>
      </c>
      <c r="U8" s="185">
        <v>24</v>
      </c>
      <c r="V8" s="187">
        <v>228.08399999999997</v>
      </c>
      <c r="W8" s="189">
        <v>21.457999999999998</v>
      </c>
      <c r="X8" s="27" t="s">
        <v>9</v>
      </c>
      <c r="Y8" s="188">
        <v>22</v>
      </c>
      <c r="Z8" s="187">
        <v>176.67750000000001</v>
      </c>
      <c r="AA8" s="187">
        <v>7</v>
      </c>
    </row>
    <row r="9" spans="1:27" x14ac:dyDescent="0.25">
      <c r="A9" s="150" t="s">
        <v>589</v>
      </c>
      <c r="B9" s="150"/>
      <c r="D9" s="150" t="s">
        <v>589</v>
      </c>
      <c r="E9" s="150">
        <v>6</v>
      </c>
      <c r="H9" t="s">
        <v>1001</v>
      </c>
      <c r="I9">
        <v>1</v>
      </c>
      <c r="L9" s="27" t="s">
        <v>12</v>
      </c>
      <c r="M9" s="185">
        <v>22</v>
      </c>
      <c r="N9" s="185">
        <v>247.42749999999998</v>
      </c>
      <c r="O9" s="186">
        <v>26.5</v>
      </c>
      <c r="P9" s="27" t="s">
        <v>12</v>
      </c>
      <c r="Q9" s="185">
        <v>28.25</v>
      </c>
      <c r="R9" s="185">
        <v>236.60750000000002</v>
      </c>
      <c r="S9" s="186">
        <v>18.25</v>
      </c>
      <c r="T9" s="27" t="s">
        <v>12</v>
      </c>
      <c r="U9" s="185">
        <v>27</v>
      </c>
      <c r="V9" s="187">
        <v>196.11199999999997</v>
      </c>
      <c r="W9" s="189">
        <v>18.827999999999999</v>
      </c>
      <c r="X9" s="27" t="s">
        <v>12</v>
      </c>
      <c r="Y9" s="188">
        <v>21.75</v>
      </c>
      <c r="Z9" s="187">
        <v>174.10999999999999</v>
      </c>
      <c r="AA9" s="187">
        <v>18.07</v>
      </c>
    </row>
    <row r="10" spans="1:27" x14ac:dyDescent="0.25">
      <c r="A10" s="150" t="s">
        <v>424</v>
      </c>
      <c r="B10" s="150"/>
      <c r="D10" s="150" t="s">
        <v>424</v>
      </c>
      <c r="E10" s="150"/>
      <c r="H10" t="s">
        <v>1011</v>
      </c>
      <c r="I10">
        <v>3</v>
      </c>
      <c r="L10" s="27" t="s">
        <v>10</v>
      </c>
      <c r="M10" s="185">
        <v>21.25</v>
      </c>
      <c r="N10" s="187">
        <v>166.96249999999998</v>
      </c>
      <c r="O10" s="186">
        <v>12.7475</v>
      </c>
      <c r="P10" s="27" t="s">
        <v>10</v>
      </c>
      <c r="Q10" s="187">
        <v>20</v>
      </c>
      <c r="R10" s="185">
        <v>175.85750000000002</v>
      </c>
      <c r="S10" s="186">
        <v>25.035000000000004</v>
      </c>
      <c r="T10" s="27" t="s">
        <v>10</v>
      </c>
      <c r="U10" s="187">
        <v>14.8</v>
      </c>
      <c r="V10" s="187">
        <v>182.51600000000002</v>
      </c>
      <c r="W10" s="186">
        <v>12.058</v>
      </c>
      <c r="X10" s="27" t="s">
        <v>10</v>
      </c>
      <c r="Y10" s="188">
        <v>14.5</v>
      </c>
      <c r="Z10" s="187">
        <v>168.785</v>
      </c>
      <c r="AA10" s="187">
        <v>12.6425</v>
      </c>
    </row>
    <row r="11" spans="1:27" x14ac:dyDescent="0.25">
      <c r="A11" s="150" t="s">
        <v>471</v>
      </c>
      <c r="B11" s="150"/>
      <c r="D11" s="150" t="s">
        <v>471</v>
      </c>
      <c r="E11" s="150"/>
      <c r="H11" t="s">
        <v>1031</v>
      </c>
      <c r="I11">
        <v>2</v>
      </c>
      <c r="L11" s="27" t="s">
        <v>19</v>
      </c>
      <c r="M11" s="187">
        <v>3.25</v>
      </c>
      <c r="N11" s="187">
        <v>76.392499999999998</v>
      </c>
      <c r="O11" s="186">
        <v>8.1425000000000001</v>
      </c>
      <c r="P11" s="27" t="s">
        <v>19</v>
      </c>
      <c r="Q11" s="187">
        <v>9.75</v>
      </c>
      <c r="R11" s="187">
        <v>95.034999999999997</v>
      </c>
      <c r="S11" s="186">
        <v>18.712499999999999</v>
      </c>
      <c r="T11" s="27" t="s">
        <v>19</v>
      </c>
      <c r="U11" s="187">
        <v>12.4</v>
      </c>
      <c r="V11" s="187">
        <v>120.94200000000001</v>
      </c>
      <c r="W11" s="187">
        <v>12.028000000000002</v>
      </c>
      <c r="X11" s="27" t="s">
        <v>19</v>
      </c>
      <c r="Y11" s="188">
        <v>12.25</v>
      </c>
      <c r="Z11" s="187">
        <v>123.82250000000001</v>
      </c>
      <c r="AA11" s="187">
        <v>7.6074999999999999</v>
      </c>
    </row>
    <row r="12" spans="1:27" x14ac:dyDescent="0.25">
      <c r="A12" s="150" t="s">
        <v>415</v>
      </c>
      <c r="B12" s="150"/>
      <c r="D12" s="150" t="s">
        <v>415</v>
      </c>
      <c r="E12" s="150"/>
      <c r="L12" s="147" t="s">
        <v>1032</v>
      </c>
      <c r="M12" s="190">
        <v>19.40625</v>
      </c>
      <c r="N12" s="190">
        <v>187.644375</v>
      </c>
      <c r="O12" s="191">
        <v>16.107031249999999</v>
      </c>
      <c r="P12" s="147" t="s">
        <v>1033</v>
      </c>
      <c r="Q12" s="191">
        <v>22.078125</v>
      </c>
      <c r="R12" s="191">
        <v>166.63421875</v>
      </c>
      <c r="S12" s="191">
        <v>17.635625000000001</v>
      </c>
      <c r="T12" s="147" t="s">
        <v>1034</v>
      </c>
      <c r="U12" s="191">
        <v>19.224999999999998</v>
      </c>
      <c r="V12" s="191">
        <v>150.36087500000002</v>
      </c>
      <c r="W12" s="191">
        <v>14.769999999999998</v>
      </c>
      <c r="X12" s="147" t="s">
        <v>1035</v>
      </c>
      <c r="Y12" s="191">
        <v>18.033333333333335</v>
      </c>
      <c r="Z12" s="191">
        <v>155.92910714285716</v>
      </c>
      <c r="AA12" s="191">
        <v>14.923392857142858</v>
      </c>
    </row>
    <row r="13" spans="1:27" x14ac:dyDescent="0.25">
      <c r="A13" s="150" t="s">
        <v>79</v>
      </c>
      <c r="B13" s="150"/>
      <c r="D13" s="150" t="s">
        <v>79</v>
      </c>
      <c r="E13" s="150"/>
      <c r="L13" s="98" t="s">
        <v>1028</v>
      </c>
      <c r="M13" s="184" t="s">
        <v>26</v>
      </c>
      <c r="N13" s="184" t="s">
        <v>28</v>
      </c>
      <c r="O13" s="184" t="s">
        <v>1023</v>
      </c>
      <c r="P13" s="98" t="s">
        <v>1029</v>
      </c>
      <c r="Q13" s="184" t="s">
        <v>26</v>
      </c>
      <c r="R13" s="184" t="s">
        <v>28</v>
      </c>
      <c r="S13" s="184" t="s">
        <v>1023</v>
      </c>
    </row>
    <row r="14" spans="1:27" x14ac:dyDescent="0.25">
      <c r="A14" s="150" t="s">
        <v>1013</v>
      </c>
      <c r="B14" s="150"/>
      <c r="D14" s="150" t="s">
        <v>1013</v>
      </c>
      <c r="E14" s="150">
        <v>3</v>
      </c>
      <c r="L14" s="27" t="s">
        <v>37</v>
      </c>
      <c r="M14" s="185">
        <v>22.4</v>
      </c>
      <c r="N14" s="187">
        <v>175.19800000000004</v>
      </c>
      <c r="O14" s="186">
        <v>11.827999999999999</v>
      </c>
      <c r="P14" s="27" t="s">
        <v>37</v>
      </c>
      <c r="Q14" s="189">
        <v>19</v>
      </c>
      <c r="R14" s="187">
        <v>128.5</v>
      </c>
      <c r="S14" s="187">
        <v>7.75</v>
      </c>
    </row>
    <row r="15" spans="1:27" x14ac:dyDescent="0.25">
      <c r="A15" s="150" t="s">
        <v>15</v>
      </c>
      <c r="B15" s="150"/>
      <c r="D15" t="s">
        <v>998</v>
      </c>
      <c r="E15">
        <v>2</v>
      </c>
      <c r="L15" s="27" t="s">
        <v>9</v>
      </c>
      <c r="M15" s="185">
        <v>24</v>
      </c>
      <c r="N15" s="187">
        <v>228.08399999999997</v>
      </c>
      <c r="O15" s="189">
        <v>21.457999999999998</v>
      </c>
      <c r="P15" s="27" t="s">
        <v>9</v>
      </c>
      <c r="Q15" s="189">
        <v>22</v>
      </c>
      <c r="R15" s="185">
        <v>176.67750000000001</v>
      </c>
      <c r="S15" s="187">
        <v>7</v>
      </c>
    </row>
    <row r="16" spans="1:27" x14ac:dyDescent="0.25">
      <c r="A16" s="150"/>
      <c r="B16" s="150"/>
      <c r="D16" t="s">
        <v>406</v>
      </c>
      <c r="E16">
        <v>7</v>
      </c>
      <c r="L16" s="27" t="s">
        <v>12</v>
      </c>
      <c r="M16" s="185">
        <v>27</v>
      </c>
      <c r="N16" s="187">
        <v>196.11199999999997</v>
      </c>
      <c r="O16" s="189">
        <v>18.827999999999999</v>
      </c>
      <c r="P16" s="27" t="s">
        <v>12</v>
      </c>
      <c r="Q16" s="189">
        <v>21.75</v>
      </c>
      <c r="R16" s="185">
        <v>174.10999999999999</v>
      </c>
      <c r="S16" s="185">
        <v>18.07</v>
      </c>
    </row>
    <row r="17" spans="1:19" x14ac:dyDescent="0.25">
      <c r="A17" s="150" t="s">
        <v>1008</v>
      </c>
      <c r="B17" s="150"/>
      <c r="D17" t="s">
        <v>1001</v>
      </c>
      <c r="E17">
        <v>1</v>
      </c>
      <c r="L17" s="27" t="s">
        <v>10</v>
      </c>
      <c r="M17" s="187">
        <v>14.8</v>
      </c>
      <c r="N17" s="187">
        <v>182.51600000000002</v>
      </c>
      <c r="O17" s="186">
        <v>12.058</v>
      </c>
      <c r="P17" s="27" t="s">
        <v>10</v>
      </c>
      <c r="Q17" s="188">
        <v>14.5</v>
      </c>
      <c r="R17" s="185">
        <v>168.785</v>
      </c>
      <c r="S17" s="187">
        <v>12.6425</v>
      </c>
    </row>
    <row r="18" spans="1:19" ht="30" x14ac:dyDescent="0.25">
      <c r="A18" s="150"/>
      <c r="B18" s="87" t="s">
        <v>1025</v>
      </c>
      <c r="D18" t="s">
        <v>1011</v>
      </c>
      <c r="E18">
        <v>3</v>
      </c>
      <c r="L18" s="27" t="s">
        <v>19</v>
      </c>
      <c r="M18" s="187">
        <v>12.4</v>
      </c>
      <c r="N18" s="187">
        <v>120.94200000000001</v>
      </c>
      <c r="O18" s="187">
        <v>12.028000000000002</v>
      </c>
      <c r="P18" s="27" t="s">
        <v>19</v>
      </c>
      <c r="Q18" s="188">
        <v>12.25</v>
      </c>
      <c r="R18" s="187">
        <v>123.82250000000001</v>
      </c>
      <c r="S18" s="187">
        <v>7.6074999999999999</v>
      </c>
    </row>
    <row r="19" spans="1:19" x14ac:dyDescent="0.25">
      <c r="A19" s="150" t="s">
        <v>1030</v>
      </c>
      <c r="B19" s="150"/>
      <c r="D19" t="s">
        <v>1031</v>
      </c>
      <c r="E19">
        <v>2</v>
      </c>
      <c r="H19" t="s">
        <v>998</v>
      </c>
      <c r="L19" s="147" t="s">
        <v>1034</v>
      </c>
      <c r="M19" s="191">
        <v>19.224999999999998</v>
      </c>
      <c r="N19" s="191">
        <v>150.36087500000002</v>
      </c>
      <c r="O19" s="191">
        <v>14.769999999999998</v>
      </c>
      <c r="P19" s="147" t="s">
        <v>1035</v>
      </c>
      <c r="Q19" s="191">
        <v>18.033333333333335</v>
      </c>
      <c r="R19" s="191">
        <v>155.92910714285716</v>
      </c>
      <c r="S19" s="191">
        <v>14.923392857142858</v>
      </c>
    </row>
    <row r="20" spans="1:19" x14ac:dyDescent="0.25">
      <c r="A20" s="150" t="s">
        <v>823</v>
      </c>
      <c r="B20" s="150"/>
      <c r="D20" s="150" t="s">
        <v>15</v>
      </c>
      <c r="E20" s="150">
        <v>30</v>
      </c>
      <c r="L20" s="98" t="s">
        <v>1036</v>
      </c>
      <c r="M20" s="184" t="s">
        <v>26</v>
      </c>
      <c r="N20" s="184" t="s">
        <v>28</v>
      </c>
      <c r="O20" s="184" t="s">
        <v>1023</v>
      </c>
      <c r="P20" s="98" t="s">
        <v>1037</v>
      </c>
      <c r="Q20" s="184" t="s">
        <v>26</v>
      </c>
      <c r="R20" s="184" t="s">
        <v>28</v>
      </c>
      <c r="S20" s="184" t="s">
        <v>1023</v>
      </c>
    </row>
    <row r="21" spans="1:19" x14ac:dyDescent="0.25">
      <c r="A21" s="150" t="s">
        <v>589</v>
      </c>
      <c r="B21" s="150"/>
      <c r="D21" s="150"/>
      <c r="E21" s="150"/>
      <c r="L21" s="27" t="s">
        <v>37</v>
      </c>
      <c r="M21" s="186">
        <v>13</v>
      </c>
      <c r="N21" s="186">
        <v>98.534999999999997</v>
      </c>
      <c r="O21" s="189">
        <v>23.715000000000003</v>
      </c>
      <c r="P21" s="27" t="s">
        <v>37</v>
      </c>
      <c r="Q21" s="186">
        <v>15.8</v>
      </c>
      <c r="R21" s="189">
        <v>170.17</v>
      </c>
      <c r="S21" s="189">
        <v>23.113999999999997</v>
      </c>
    </row>
    <row r="22" spans="1:19" x14ac:dyDescent="0.25">
      <c r="A22" s="150" t="s">
        <v>424</v>
      </c>
      <c r="B22" s="150"/>
      <c r="D22" s="150" t="s">
        <v>1008</v>
      </c>
      <c r="E22" s="150"/>
      <c r="L22" s="27" t="s">
        <v>9</v>
      </c>
      <c r="M22" s="189">
        <v>20</v>
      </c>
      <c r="N22" s="189">
        <v>143.07</v>
      </c>
      <c r="O22" s="189">
        <v>17.32</v>
      </c>
      <c r="P22" s="27" t="s">
        <v>9</v>
      </c>
      <c r="Q22" s="189">
        <v>18.2</v>
      </c>
      <c r="R22" s="186">
        <v>141.97199999999998</v>
      </c>
      <c r="S22" s="186">
        <v>17</v>
      </c>
    </row>
    <row r="23" spans="1:19" ht="30" x14ac:dyDescent="0.25">
      <c r="A23" s="150" t="s">
        <v>471</v>
      </c>
      <c r="B23" s="150"/>
      <c r="D23" s="150"/>
      <c r="E23" s="87" t="s">
        <v>1025</v>
      </c>
      <c r="L23" s="27" t="s">
        <v>12</v>
      </c>
      <c r="M23" s="189">
        <v>21</v>
      </c>
      <c r="N23" s="189">
        <v>147.5</v>
      </c>
      <c r="O23" s="186">
        <v>7.82</v>
      </c>
      <c r="P23" s="27" t="s">
        <v>12</v>
      </c>
      <c r="Q23" s="189">
        <v>17.600000000000001</v>
      </c>
      <c r="R23" s="186">
        <v>141.45999999999998</v>
      </c>
      <c r="S23" s="189">
        <v>25.655999999999995</v>
      </c>
    </row>
    <row r="24" spans="1:19" x14ac:dyDescent="0.25">
      <c r="A24" s="150" t="s">
        <v>415</v>
      </c>
      <c r="B24" s="150"/>
      <c r="D24" s="150" t="s">
        <v>1030</v>
      </c>
      <c r="E24" s="150">
        <v>3</v>
      </c>
      <c r="L24" s="27" t="s">
        <v>10</v>
      </c>
      <c r="M24" s="186">
        <v>16.75</v>
      </c>
      <c r="N24" s="189">
        <v>170.10750000000002</v>
      </c>
      <c r="O24" s="189">
        <v>18.105</v>
      </c>
      <c r="P24" s="27" t="s">
        <v>10</v>
      </c>
      <c r="Q24" s="189">
        <v>17.8</v>
      </c>
      <c r="R24" s="189">
        <v>166.94400000000002</v>
      </c>
      <c r="S24" s="186">
        <v>13.628</v>
      </c>
    </row>
    <row r="25" spans="1:19" x14ac:dyDescent="0.25">
      <c r="A25" s="150" t="s">
        <v>79</v>
      </c>
      <c r="B25" s="150"/>
      <c r="D25" s="150" t="s">
        <v>823</v>
      </c>
      <c r="E25" s="150">
        <v>3</v>
      </c>
      <c r="L25" s="27" t="s">
        <v>19</v>
      </c>
      <c r="M25" s="186">
        <v>16.25</v>
      </c>
      <c r="N25" s="186">
        <v>104.035</v>
      </c>
      <c r="O25" s="186">
        <v>11.18</v>
      </c>
      <c r="P25" s="27" t="s">
        <v>19</v>
      </c>
      <c r="Q25" s="186">
        <v>14</v>
      </c>
      <c r="R25" s="186">
        <v>148.4</v>
      </c>
      <c r="S25" s="189">
        <v>28.141999999999996</v>
      </c>
    </row>
    <row r="26" spans="1:19" x14ac:dyDescent="0.25">
      <c r="A26" s="150" t="s">
        <v>1013</v>
      </c>
      <c r="B26" s="150"/>
      <c r="D26" s="150" t="s">
        <v>589</v>
      </c>
      <c r="E26" s="150">
        <v>5</v>
      </c>
      <c r="L26" s="147" t="s">
        <v>1038</v>
      </c>
      <c r="M26" s="191">
        <v>17.3</v>
      </c>
      <c r="N26" s="191">
        <v>136.26517857142861</v>
      </c>
      <c r="O26" s="191">
        <f>AVERAGE(O21:O25)</f>
        <v>15.628000000000004</v>
      </c>
      <c r="P26" s="147" t="s">
        <v>1039</v>
      </c>
      <c r="Q26" s="191">
        <v>17.185714285714287</v>
      </c>
      <c r="R26" s="191">
        <v>149.9842857142857</v>
      </c>
      <c r="S26" s="191">
        <v>20.706285714285716</v>
      </c>
    </row>
    <row r="27" spans="1:19" x14ac:dyDescent="0.25">
      <c r="A27" s="150" t="s">
        <v>15</v>
      </c>
      <c r="B27" s="150"/>
      <c r="D27" s="150" t="s">
        <v>424</v>
      </c>
      <c r="E27" s="150"/>
      <c r="L27" s="98" t="s">
        <v>1040</v>
      </c>
      <c r="M27" s="184" t="s">
        <v>26</v>
      </c>
      <c r="N27" s="184" t="s">
        <v>28</v>
      </c>
      <c r="O27" s="184" t="s">
        <v>1023</v>
      </c>
      <c r="P27" s="98" t="s">
        <v>1041</v>
      </c>
      <c r="Q27" s="184" t="s">
        <v>26</v>
      </c>
      <c r="R27" s="184" t="s">
        <v>28</v>
      </c>
      <c r="S27" s="184" t="s">
        <v>1023</v>
      </c>
    </row>
    <row r="28" spans="1:19" x14ac:dyDescent="0.25">
      <c r="D28" s="150" t="s">
        <v>471</v>
      </c>
      <c r="E28" s="150"/>
      <c r="L28" s="27" t="s">
        <v>37</v>
      </c>
      <c r="M28" s="186">
        <v>17.25</v>
      </c>
      <c r="N28" s="186">
        <v>148.92749999999998</v>
      </c>
      <c r="O28" s="186">
        <v>9.4649999999999999</v>
      </c>
      <c r="P28" s="27" t="s">
        <v>37</v>
      </c>
      <c r="Q28" s="189">
        <v>18.399999999999999</v>
      </c>
      <c r="R28" s="186">
        <v>139.54000000000002</v>
      </c>
      <c r="S28" s="186">
        <v>16.655999999999999</v>
      </c>
    </row>
    <row r="29" spans="1:19" x14ac:dyDescent="0.25">
      <c r="D29" s="150" t="s">
        <v>415</v>
      </c>
      <c r="E29" s="150">
        <v>3</v>
      </c>
      <c r="L29" s="27" t="s">
        <v>9</v>
      </c>
      <c r="M29" s="189">
        <v>19.5</v>
      </c>
      <c r="N29" s="186">
        <v>145.68</v>
      </c>
      <c r="O29" s="189">
        <v>18.355</v>
      </c>
      <c r="P29" s="27" t="s">
        <v>9</v>
      </c>
      <c r="Q29" s="189">
        <v>20.6</v>
      </c>
      <c r="R29" s="189">
        <v>164.77199999999999</v>
      </c>
      <c r="S29" s="189">
        <v>22.855999999999998</v>
      </c>
    </row>
    <row r="30" spans="1:19" x14ac:dyDescent="0.25">
      <c r="D30" s="150" t="s">
        <v>79</v>
      </c>
      <c r="E30" s="150"/>
      <c r="L30" s="27" t="s">
        <v>12</v>
      </c>
      <c r="M30" s="189">
        <v>22.25</v>
      </c>
      <c r="N30" s="189">
        <v>194.57499999999999</v>
      </c>
      <c r="O30" s="189">
        <v>28.605000000000004</v>
      </c>
      <c r="P30" s="27" t="s">
        <v>12</v>
      </c>
      <c r="Q30" s="189">
        <v>26.6</v>
      </c>
      <c r="R30" s="189">
        <v>196.286</v>
      </c>
      <c r="S30" s="189">
        <v>29.314</v>
      </c>
    </row>
    <row r="31" spans="1:19" x14ac:dyDescent="0.25">
      <c r="D31" s="150" t="s">
        <v>1013</v>
      </c>
      <c r="E31" s="150">
        <v>5</v>
      </c>
      <c r="L31" s="27" t="s">
        <v>10</v>
      </c>
      <c r="M31" s="186">
        <v>17.75</v>
      </c>
      <c r="N31" s="189">
        <v>184.715</v>
      </c>
      <c r="O31" s="189">
        <v>26.36</v>
      </c>
      <c r="P31" s="27" t="s">
        <v>10</v>
      </c>
      <c r="Q31" s="189">
        <v>20.8</v>
      </c>
      <c r="R31" s="189">
        <v>217.96999999999997</v>
      </c>
      <c r="S31" s="189">
        <v>24.771999999999998</v>
      </c>
    </row>
    <row r="32" spans="1:19" x14ac:dyDescent="0.25">
      <c r="D32" t="s">
        <v>406</v>
      </c>
      <c r="E32">
        <v>6</v>
      </c>
      <c r="L32" s="27" t="s">
        <v>19</v>
      </c>
      <c r="M32" s="189">
        <v>19.75</v>
      </c>
      <c r="N32" s="189">
        <v>176.78250000000003</v>
      </c>
      <c r="O32" s="189">
        <v>18.18</v>
      </c>
      <c r="P32" s="27" t="s">
        <v>19</v>
      </c>
      <c r="Q32" s="189">
        <v>18.8</v>
      </c>
      <c r="R32" s="189">
        <v>164.62800000000001</v>
      </c>
      <c r="S32" s="186">
        <v>15.974</v>
      </c>
    </row>
    <row r="33" spans="4:19" x14ac:dyDescent="0.25">
      <c r="D33" t="s">
        <v>1011</v>
      </c>
      <c r="E33">
        <v>1</v>
      </c>
      <c r="L33" s="147" t="s">
        <v>1042</v>
      </c>
      <c r="M33" s="191">
        <v>18.089285714285715</v>
      </c>
      <c r="N33" s="191">
        <v>155.18660714285716</v>
      </c>
      <c r="O33" s="191">
        <v>18.075535714285714</v>
      </c>
      <c r="P33" s="147" t="s">
        <v>1043</v>
      </c>
      <c r="Q33" s="191">
        <v>17.453333333333333</v>
      </c>
      <c r="R33" s="191">
        <v>159.29314285714284</v>
      </c>
      <c r="S33" s="191">
        <v>19.897857142857141</v>
      </c>
    </row>
    <row r="34" spans="4:19" x14ac:dyDescent="0.25">
      <c r="D34" t="s">
        <v>1012</v>
      </c>
      <c r="E34">
        <v>1</v>
      </c>
      <c r="L34" s="98" t="s">
        <v>1044</v>
      </c>
      <c r="M34" s="98" t="s">
        <v>26</v>
      </c>
      <c r="N34" s="98" t="s">
        <v>28</v>
      </c>
      <c r="O34" s="98" t="s">
        <v>1023</v>
      </c>
    </row>
    <row r="35" spans="4:19" x14ac:dyDescent="0.25">
      <c r="D35" s="150" t="s">
        <v>15</v>
      </c>
      <c r="E35" s="150">
        <v>27</v>
      </c>
      <c r="L35" s="192" t="s">
        <v>37</v>
      </c>
      <c r="M35" s="193"/>
      <c r="N35" s="193"/>
      <c r="O35" s="193"/>
    </row>
    <row r="36" spans="4:19" x14ac:dyDescent="0.25">
      <c r="L36" s="192" t="s">
        <v>9</v>
      </c>
      <c r="M36" s="193"/>
      <c r="N36" s="193"/>
      <c r="O36" s="193"/>
    </row>
    <row r="37" spans="4:19" x14ac:dyDescent="0.25">
      <c r="L37" s="192" t="s">
        <v>12</v>
      </c>
      <c r="M37" s="193"/>
      <c r="N37" s="193"/>
      <c r="O37" s="193"/>
    </row>
    <row r="38" spans="4:19" x14ac:dyDescent="0.25">
      <c r="L38" s="192" t="s">
        <v>10</v>
      </c>
      <c r="M38" s="193"/>
      <c r="N38" s="193"/>
      <c r="O38" s="193"/>
    </row>
    <row r="39" spans="4:19" x14ac:dyDescent="0.25">
      <c r="L39" s="192" t="s">
        <v>19</v>
      </c>
      <c r="M39" s="193"/>
      <c r="N39" s="193"/>
      <c r="O39" s="193"/>
    </row>
    <row r="40" spans="4:19" x14ac:dyDescent="0.25">
      <c r="L40" s="147" t="s">
        <v>1045</v>
      </c>
      <c r="M40" s="147"/>
      <c r="N40" s="147"/>
      <c r="O40" s="147"/>
    </row>
    <row r="48" spans="4:19" x14ac:dyDescent="0.25">
      <c r="L48" s="98" t="s">
        <v>1036</v>
      </c>
      <c r="M48" s="184" t="s">
        <v>26</v>
      </c>
      <c r="N48" s="184" t="s">
        <v>28</v>
      </c>
      <c r="O48" s="184" t="s">
        <v>1023</v>
      </c>
      <c r="P48" s="98" t="s">
        <v>1037</v>
      </c>
      <c r="Q48" s="184" t="s">
        <v>26</v>
      </c>
      <c r="R48" s="184" t="s">
        <v>28</v>
      </c>
      <c r="S48" s="184" t="s">
        <v>1023</v>
      </c>
    </row>
    <row r="49" spans="12:19" x14ac:dyDescent="0.25">
      <c r="L49" s="27" t="s">
        <v>37</v>
      </c>
      <c r="M49" s="194">
        <v>13</v>
      </c>
      <c r="N49" s="194">
        <v>98.534999999999997</v>
      </c>
      <c r="O49" s="194">
        <v>23.715000000000003</v>
      </c>
      <c r="P49" s="27" t="s">
        <v>37</v>
      </c>
      <c r="Q49" s="194">
        <v>15.8</v>
      </c>
      <c r="R49" s="194">
        <v>170.17</v>
      </c>
      <c r="S49" s="194">
        <v>23.113999999999997</v>
      </c>
    </row>
    <row r="50" spans="12:19" x14ac:dyDescent="0.25">
      <c r="L50" s="27" t="s">
        <v>9</v>
      </c>
      <c r="M50" s="194">
        <v>20</v>
      </c>
      <c r="N50" s="194">
        <v>143.07</v>
      </c>
      <c r="O50" s="194">
        <v>17.32</v>
      </c>
      <c r="P50" s="27" t="s">
        <v>9</v>
      </c>
      <c r="Q50" s="194">
        <v>18.2</v>
      </c>
      <c r="R50" s="194">
        <v>141.97199999999998</v>
      </c>
      <c r="S50" s="194">
        <v>17</v>
      </c>
    </row>
    <row r="51" spans="12:19" x14ac:dyDescent="0.25">
      <c r="L51" s="27" t="s">
        <v>12</v>
      </c>
      <c r="M51" s="194">
        <v>21</v>
      </c>
      <c r="N51" s="194">
        <v>147.5</v>
      </c>
      <c r="O51" s="194">
        <v>7.82</v>
      </c>
      <c r="P51" s="27" t="s">
        <v>12</v>
      </c>
      <c r="Q51" s="194">
        <v>17.600000000000001</v>
      </c>
      <c r="R51" s="194">
        <v>141.45999999999998</v>
      </c>
      <c r="S51" s="194">
        <v>25.655999999999995</v>
      </c>
    </row>
    <row r="52" spans="12:19" x14ac:dyDescent="0.25">
      <c r="L52" s="27" t="s">
        <v>10</v>
      </c>
      <c r="M52" s="194">
        <v>16.75</v>
      </c>
      <c r="N52" s="194">
        <v>170.10750000000002</v>
      </c>
      <c r="O52" s="194">
        <v>18.105</v>
      </c>
      <c r="P52" s="27" t="s">
        <v>10</v>
      </c>
      <c r="Q52" s="194">
        <v>17.8</v>
      </c>
      <c r="R52" s="194">
        <v>166.94400000000002</v>
      </c>
      <c r="S52" s="194">
        <v>13.628</v>
      </c>
    </row>
    <row r="53" spans="12:19" x14ac:dyDescent="0.25">
      <c r="L53" s="27" t="s">
        <v>19</v>
      </c>
      <c r="M53" s="194">
        <v>16.25</v>
      </c>
      <c r="N53" s="194">
        <v>104.035</v>
      </c>
      <c r="O53" s="194">
        <v>11.18</v>
      </c>
      <c r="P53" s="27" t="s">
        <v>19</v>
      </c>
      <c r="Q53" s="194">
        <v>14</v>
      </c>
      <c r="R53" s="194">
        <v>148.4</v>
      </c>
      <c r="S53" s="194">
        <v>28.141999999999996</v>
      </c>
    </row>
    <row r="54" spans="12:19" x14ac:dyDescent="0.25">
      <c r="L54" s="147" t="s">
        <v>1038</v>
      </c>
      <c r="M54" s="191">
        <v>17.3</v>
      </c>
      <c r="N54" s="191">
        <v>136.26517857142861</v>
      </c>
      <c r="O54" s="191">
        <f>AVERAGE(O25:O53)</f>
        <v>17.22988736263736</v>
      </c>
      <c r="P54" s="147" t="s">
        <v>1039</v>
      </c>
      <c r="Q54" s="191">
        <v>17.185714285714287</v>
      </c>
      <c r="R54" s="191">
        <v>149.9842857142857</v>
      </c>
      <c r="S54" s="191">
        <v>20.706285714285716</v>
      </c>
    </row>
    <row r="56" spans="12:19" ht="15.75" thickBot="1" x14ac:dyDescent="0.3"/>
    <row r="57" spans="12:19" ht="45.75" thickBot="1" x14ac:dyDescent="0.3">
      <c r="L57" s="195" t="s">
        <v>1046</v>
      </c>
      <c r="M57" s="196" t="s">
        <v>27</v>
      </c>
      <c r="N57" s="196" t="s">
        <v>1047</v>
      </c>
      <c r="O57" s="196" t="s">
        <v>1048</v>
      </c>
      <c r="P57" s="196" t="s">
        <v>1049</v>
      </c>
    </row>
    <row r="58" spans="12:19" ht="15.75" thickBot="1" x14ac:dyDescent="0.3">
      <c r="L58" s="197" t="s">
        <v>19</v>
      </c>
      <c r="M58" s="198">
        <v>15.32</v>
      </c>
      <c r="N58" s="198">
        <v>15.57</v>
      </c>
      <c r="O58" s="198">
        <v>139.76</v>
      </c>
      <c r="P58" s="199"/>
    </row>
    <row r="59" spans="12:19" ht="15.75" thickBot="1" x14ac:dyDescent="0.3">
      <c r="L59" s="197" t="s">
        <v>37</v>
      </c>
      <c r="M59" s="198">
        <v>17.18</v>
      </c>
      <c r="N59" s="198">
        <v>17.64</v>
      </c>
      <c r="O59" s="198">
        <v>142.66999999999999</v>
      </c>
      <c r="P59" s="199"/>
    </row>
    <row r="60" spans="12:19" ht="15.75" thickBot="1" x14ac:dyDescent="0.3">
      <c r="L60" s="197" t="s">
        <v>10</v>
      </c>
      <c r="M60" s="198">
        <v>17.89</v>
      </c>
      <c r="N60" s="198">
        <v>16.78</v>
      </c>
      <c r="O60" s="198">
        <v>181.83</v>
      </c>
      <c r="P60" s="199"/>
    </row>
    <row r="61" spans="12:19" ht="15.75" thickBot="1" x14ac:dyDescent="0.3">
      <c r="L61" s="197" t="s">
        <v>12</v>
      </c>
      <c r="M61" s="198">
        <v>21.32</v>
      </c>
      <c r="N61" s="198">
        <v>22.7</v>
      </c>
      <c r="O61" s="198">
        <v>175</v>
      </c>
      <c r="P61" s="199"/>
    </row>
    <row r="62" spans="12:19" ht="15.75" thickBot="1" x14ac:dyDescent="0.3">
      <c r="L62" s="197" t="s">
        <v>9</v>
      </c>
      <c r="M62" s="198">
        <v>17.25</v>
      </c>
      <c r="N62" s="198">
        <v>20.45</v>
      </c>
      <c r="O62" s="198">
        <v>166.7</v>
      </c>
      <c r="P62" s="199"/>
    </row>
    <row r="63" spans="12:19" ht="30.75" thickBot="1" x14ac:dyDescent="0.3">
      <c r="L63" s="197" t="s">
        <v>1050</v>
      </c>
      <c r="M63" s="200">
        <v>16.940000000000001</v>
      </c>
      <c r="N63" s="200">
        <v>17.829999999999998</v>
      </c>
      <c r="O63" s="200">
        <v>151.16</v>
      </c>
      <c r="P63" s="199" t="s">
        <v>1051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vt:i4>
      </vt:variant>
    </vt:vector>
  </HeadingPairs>
  <TitlesOfParts>
    <vt:vector size="21" baseType="lpstr">
      <vt:lpstr>Numbers</vt:lpstr>
      <vt:lpstr>Numbers Recruit</vt:lpstr>
      <vt:lpstr>1on1 tracking</vt:lpstr>
      <vt:lpstr>Goals</vt:lpstr>
      <vt:lpstr>Sheet5</vt:lpstr>
      <vt:lpstr>JB details</vt:lpstr>
      <vt:lpstr>Recruitment</vt:lpstr>
      <vt:lpstr>NA list</vt:lpstr>
      <vt:lpstr>Expanded Duties Table</vt:lpstr>
      <vt:lpstr>Email Unsubscribers</vt:lpstr>
      <vt:lpstr>Clinical Areas</vt:lpstr>
      <vt:lpstr>TEAM Stuff RN9</vt:lpstr>
      <vt:lpstr>Sheet7</vt:lpstr>
      <vt:lpstr>Airtable team</vt:lpstr>
      <vt:lpstr>2024 EOY Email templates</vt:lpstr>
      <vt:lpstr>Sheet4</vt:lpstr>
      <vt:lpstr>Nurse food items</vt:lpstr>
      <vt:lpstr>Sheet3</vt:lpstr>
      <vt:lpstr>Sheet2</vt:lpstr>
      <vt:lpstr>Sheet6</vt:lpstr>
      <vt:lpstr>'Numbers Recruit'!_MailAutoSig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Joshua Lawson</dc:creator>
  <cp:keywords/>
  <dc:description/>
  <cp:lastModifiedBy>Joshua Lawson</cp:lastModifiedBy>
  <cp:revision/>
  <dcterms:created xsi:type="dcterms:W3CDTF">2024-10-27T22:08:03Z</dcterms:created>
  <dcterms:modified xsi:type="dcterms:W3CDTF">2026-05-15T06:29:17Z</dcterms:modified>
  <cp:category/>
  <cp:contentStatus/>
</cp:coreProperties>
</file>